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culateur" sheetId="1" state="visible" r:id="rId3"/>
    <sheet name="Projection 20 ans" sheetId="2" state="visible" r:id="rId4"/>
    <sheet name="Comparaison scenarios" sheetId="3" state="visible" r:id="rId5"/>
    <sheet name="Lexiqu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<sst xmlns="http://schemas.openxmlformats.org/spreadsheetml/2006/main" count="178" uniqueCount="176">
  <si>
    <t xml:space="preserve">HUNTERS IMMOBILIER  —  CALCULATEUR DE RENTABILITÉ LOCATIVE</t>
  </si>
  <si>
    <t xml:space="preserve">  ■ Cellules bleues = saisie manuelle    ■ Cellules noires = calcul automatique    ■ Résultats clés en vert</t>
  </si>
  <si>
    <t xml:space="preserve">  1. ACQUISITION DU BIEN</t>
  </si>
  <si>
    <t xml:space="preserve">  A. INDICATEURS DE RENTABILITÉ</t>
  </si>
  <si>
    <t xml:space="preserve">Prix du bien (FAI)</t>
  </si>
  <si>
    <t xml:space="preserve">Rendement locatif BRUT  (%)</t>
  </si>
  <si>
    <t xml:space="preserve">Frais de notaire  (calculé : 7,5 %)</t>
  </si>
  <si>
    <t xml:space="preserve">Rendement NET de charges  (%)</t>
  </si>
  <si>
    <t xml:space="preserve">Montant des travaux</t>
  </si>
  <si>
    <t xml:space="preserve">Cashflow mensuel  (hors crédit)</t>
  </si>
  <si>
    <t xml:space="preserve">Mobilier / ameublement</t>
  </si>
  <si>
    <t xml:space="preserve">Effort d'épargne mensuel  (avec crédit)</t>
  </si>
  <si>
    <t xml:space="preserve">Honoraires Hunters — chasse  ▶ barème automatique</t>
  </si>
  <si>
    <t xml:space="preserve">Cashflow annuel NET  (avec crédit)</t>
  </si>
  <si>
    <t xml:space="preserve">  ≤ 200 000 € → forfait 7 800 € TTC (6 500 € HT)    |    200 001–500 000 € → 4 % TTC    |    500 001–1 000 000 € → 3 % TTC    |    &gt; 1 000 000 € → 2 % TTC</t>
  </si>
  <si>
    <t xml:space="preserve">Autres frais d'acquisition</t>
  </si>
  <si>
    <t xml:space="preserve">ROI annuel sur apport investi  (%)</t>
  </si>
  <si>
    <t xml:space="preserve">COÛT TOTAL D'ACQUISITION</t>
  </si>
  <si>
    <t xml:space="preserve">  B. DÉTAIL CASHFLOW ANNUEL</t>
  </si>
  <si>
    <t xml:space="preserve">  2. FINANCEMENT</t>
  </si>
  <si>
    <t xml:space="preserve">(+) Loyers encaissés  (net vacance)</t>
  </si>
  <si>
    <t xml:space="preserve">(−) Charges annuelles totales</t>
  </si>
  <si>
    <t xml:space="preserve">Apport personnel</t>
  </si>
  <si>
    <t xml:space="preserve">(−) Mensualités crédit  (annuel)</t>
  </si>
  <si>
    <t xml:space="preserve">Montant emprunté  (calculé)</t>
  </si>
  <si>
    <t xml:space="preserve">  (Assurance incluse dans mensualité ci-dessus)</t>
  </si>
  <si>
    <t xml:space="preserve">Taux d'intérêt annuel (%)</t>
  </si>
  <si>
    <t xml:space="preserve">(−) Imposition estimée  (selon régime)</t>
  </si>
  <si>
    <t xml:space="preserve">Durée du crédit (ans)</t>
  </si>
  <si>
    <t xml:space="preserve">Assurance crédit  (% capital / an)</t>
  </si>
  <si>
    <t xml:space="preserve"> = CASHFLOW NET ANNUEL  (après impôts)</t>
  </si>
  <si>
    <t xml:space="preserve">Mensualité TOTALE  (crédit + assurance)</t>
  </si>
  <si>
    <t xml:space="preserve">Mensualité crédit  (hors assurance)</t>
  </si>
  <si>
    <t xml:space="preserve">  C. POINTS DE VIGILANCE</t>
  </si>
  <si>
    <t xml:space="preserve">  3. REVENUS LOCATIFS</t>
  </si>
  <si>
    <t xml:space="preserve">Taux d'endettement  (HCSF ≤ 35 %)  ← saisir revenus en C53</t>
  </si>
  <si>
    <t xml:space="preserve">Ratio charges / loyer annuel brut</t>
  </si>
  <si>
    <t xml:space="preserve">Loyer mensuel charges comprises</t>
  </si>
  <si>
    <t xml:space="preserve">Loyer min. pour cashflow nul  (€/mois)</t>
  </si>
  <si>
    <t xml:space="preserve">Charges locatives récupérables / mois</t>
  </si>
  <si>
    <t xml:space="preserve">Loyer mensuel hors charges  (calculé)</t>
  </si>
  <si>
    <t xml:space="preserve">  D. COMMISSIONS HUNTERS</t>
  </si>
  <si>
    <t xml:space="preserve">Taux de vacance locative (%)</t>
  </si>
  <si>
    <t xml:space="preserve">Honoraires Hunters — chasse  (barème officiel auto)</t>
  </si>
  <si>
    <t xml:space="preserve">Loyer annuel  (net vacance)</t>
  </si>
  <si>
    <t xml:space="preserve">Commission mandataire N1  (55 %)</t>
  </si>
  <si>
    <t xml:space="preserve">Commission mandataire N2  (60 %)</t>
  </si>
  <si>
    <t xml:space="preserve">  4. CHARGES ANNUELLES</t>
  </si>
  <si>
    <t xml:space="preserve">Taxe foncière</t>
  </si>
  <si>
    <t xml:space="preserve">Charges de copropriété</t>
  </si>
  <si>
    <t xml:space="preserve">Assurance PNO</t>
  </si>
  <si>
    <t xml:space="preserve">Entretien / petites réparations</t>
  </si>
  <si>
    <t xml:space="preserve">Gestion locative  (% loyer HC / an)</t>
  </si>
  <si>
    <t xml:space="preserve">   ↳ Gestion locative  (€ calculé)</t>
  </si>
  <si>
    <t xml:space="preserve">Comptable / frais divers</t>
  </si>
  <si>
    <t xml:space="preserve">TOTAL CHARGES ANNUELLES  (hors crédit)</t>
  </si>
  <si>
    <t xml:space="preserve">  5. RÉGIME FISCAL</t>
  </si>
  <si>
    <t xml:space="preserve">Régime  (1=LMNP  2=Nu  3=SCI IS)</t>
  </si>
  <si>
    <t xml:space="preserve">TMI  (%)</t>
  </si>
  <si>
    <t xml:space="preserve">Taux IS  (15 % ou 25 %)</t>
  </si>
  <si>
    <t xml:space="preserve">Revenus nets mensuels du ménage  (€)  ← saisir pour calcul HCSF</t>
  </si>
  <si>
    <t xml:space="preserve">HUNTERS IMMOBILIER  —  Calculateur de Rentabilité v2.0 / 2026  —  Confidentiel — © Hunters Immobilier</t>
  </si>
  <si>
    <t xml:space="preserve">HUNTERS IMMOBILIER  —  PROJECTION SUR 20 ANS</t>
  </si>
  <si>
    <t xml:space="preserve">Projection indicative — paramètres extraits du calculateur  ◆  Revalorisation loyer : +1 %/an  ◆  Revalorisation bien : +2 %/an</t>
  </si>
  <si>
    <t xml:space="preserve">Revalorisation loyer / an (%)</t>
  </si>
  <si>
    <t xml:space="preserve">Revalorisation bien / an (%)</t>
  </si>
  <si>
    <t xml:space="preserve">An</t>
  </si>
  <si>
    <t xml:space="preserve">Loyer annuel
(net vacance)</t>
  </si>
  <si>
    <t xml:space="preserve">Charges
annuelles</t>
  </si>
  <si>
    <t xml:space="preserve">Mensualités
crédit ann.</t>
  </si>
  <si>
    <t xml:space="preserve">Cashflow
avant IS</t>
  </si>
  <si>
    <t xml:space="preserve">Valeur
du bien</t>
  </si>
  <si>
    <t xml:space="preserve">Capital remb.
cumulé</t>
  </si>
  <si>
    <t xml:space="preserve">Plus-value
latente</t>
  </si>
  <si>
    <t xml:space="preserve">Rendement
brut %</t>
  </si>
  <si>
    <t xml:space="preserve">TRI simulé
(%)</t>
  </si>
  <si>
    <t xml:space="preserve">Capital
restant dû</t>
  </si>
  <si>
    <t xml:space="preserve">Richesse
nette</t>
  </si>
  <si>
    <t xml:space="preserve">An 1</t>
  </si>
  <si>
    <t xml:space="preserve">An 2</t>
  </si>
  <si>
    <t xml:space="preserve">An 3</t>
  </si>
  <si>
    <t xml:space="preserve">An 4</t>
  </si>
  <si>
    <t xml:space="preserve">An 5</t>
  </si>
  <si>
    <t xml:space="preserve">An 6</t>
  </si>
  <si>
    <t xml:space="preserve">An 7</t>
  </si>
  <si>
    <t xml:space="preserve">An 8</t>
  </si>
  <si>
    <t xml:space="preserve">An 9</t>
  </si>
  <si>
    <t xml:space="preserve">An 10</t>
  </si>
  <si>
    <t xml:space="preserve">An 11</t>
  </si>
  <si>
    <t xml:space="preserve">An 12</t>
  </si>
  <si>
    <t xml:space="preserve">An 13</t>
  </si>
  <si>
    <t xml:space="preserve">An 14</t>
  </si>
  <si>
    <t xml:space="preserve">An 15</t>
  </si>
  <si>
    <t xml:space="preserve">An 16</t>
  </si>
  <si>
    <t xml:space="preserve">An 17</t>
  </si>
  <si>
    <t xml:space="preserve">An 18</t>
  </si>
  <si>
    <t xml:space="preserve">An 19</t>
  </si>
  <si>
    <t xml:space="preserve">An 20</t>
  </si>
  <si>
    <t xml:space="preserve">TOTAL / AN 20</t>
  </si>
  <si>
    <t xml:space="preserve">VAN  (actualisation 5 %)</t>
  </si>
  <si>
    <t xml:space="preserve">TRI  (Taux de Rendement Interne)</t>
  </si>
  <si>
    <t xml:space="preserve">SIMULATION REVENTE (Plus-value nette après impôt)</t>
  </si>
  <si>
    <t xml:space="preserve">Durée détention simulée (ans)</t>
  </si>
  <si>
    <t xml:space="preserve">Valeur de revente estimée (€)</t>
  </si>
  <si>
    <t xml:space="preserve">Capital restant dû à la revente (€)</t>
  </si>
  <si>
    <t xml:space="preserve">Plus-value brute (€)</t>
  </si>
  <si>
    <t xml:space="preserve">Abattement IR durée détention (%)</t>
  </si>
  <si>
    <t xml:space="preserve">Abattement PS durée détention (%)</t>
  </si>
  <si>
    <t xml:space="preserve">Impôt PV IR (19% après abattement)</t>
  </si>
  <si>
    <t xml:space="preserve">Prélèvements sociaux PV (17.2% après abattement)</t>
  </si>
  <si>
    <t xml:space="preserve">PLUS-VALUE NETTE APRÈS IMPÔT (€)</t>
  </si>
  <si>
    <t xml:space="preserve">Produit NET de cession (€)  (après remboursement crédit)</t>
  </si>
  <si>
    <t xml:space="preserve">HUNTERS IMMOBILIER  —  COMPARAISON 3 SCÉNARIOS</t>
  </si>
  <si>
    <t xml:space="preserve">Saisissez les paramètres de chaque scénario — comparaison côte à côte pour arbitrage client</t>
  </si>
  <si>
    <t xml:space="preserve">Paramètre</t>
  </si>
  <si>
    <t xml:space="preserve">Scénario A</t>
  </si>
  <si>
    <t xml:space="preserve">Scénario B</t>
  </si>
  <si>
    <t xml:space="preserve">Scénario C</t>
  </si>
  <si>
    <t xml:space="preserve">Prix du bien FAI</t>
  </si>
  <si>
    <t xml:space="preserve">Loyer mensuel HC</t>
  </si>
  <si>
    <t xml:space="preserve">Travaux</t>
  </si>
  <si>
    <t xml:space="preserve">Honoraires Hunters</t>
  </si>
  <si>
    <t xml:space="preserve">Frais de notaire</t>
  </si>
  <si>
    <t xml:space="preserve">Apport</t>
  </si>
  <si>
    <t xml:space="preserve">Durée crédit (ans)</t>
  </si>
  <si>
    <t xml:space="preserve">Taux crédit (%)</t>
  </si>
  <si>
    <t xml:space="preserve">Taux de vacance (%)</t>
  </si>
  <si>
    <t xml:space="preserve">Charges annuelles totales</t>
  </si>
  <si>
    <t xml:space="preserve">  RÉSULTATS CALCULÉS</t>
  </si>
  <si>
    <t xml:space="preserve">Coût total acquisition</t>
  </si>
  <si>
    <t xml:space="preserve">Loyer annuel net vacance</t>
  </si>
  <si>
    <t xml:space="preserve">Rendement brut  (%)</t>
  </si>
  <si>
    <t xml:space="preserve">Rendement net charges  (%)</t>
  </si>
  <si>
    <t xml:space="preserve">Mensualité crédit  (€/mois)</t>
  </si>
  <si>
    <t xml:space="preserve">Cashflow mensuel avec crédit</t>
  </si>
  <si>
    <t xml:space="preserve">Cashflow annuel (avec crédit)</t>
  </si>
  <si>
    <t xml:space="preserve">  ✍  Recommandation : ____________________________________________________________________________________________________________</t>
  </si>
  <si>
    <t xml:space="preserve">ROI annuel sur apport (%)</t>
  </si>
  <si>
    <t xml:space="preserve">Taux d'endettement (revenu 4 000€/mois)</t>
  </si>
  <si>
    <t xml:space="preserve">Alerte HCSF (≤ 35%)</t>
  </si>
  <si>
    <t xml:space="preserve">→ Meilleur cashflow annuel</t>
  </si>
  <si>
    <t xml:space="preserve">HUNTERS IMMOBILIER  —  LEXIQUE &amp; MÉTHODE DE CALCUL</t>
  </si>
  <si>
    <t xml:space="preserve">Définitions des indicateurs utilisés dans le calculateur — à partager avec le client si utile</t>
  </si>
  <si>
    <t xml:space="preserve">Rendement brut</t>
  </si>
  <si>
    <t xml:space="preserve">Loyer annuel HORS CHARGES / Prix FAI × 100. Toujours calculé sur loyer HC (hors charges locatives). Ne tient pas compte des charges ni de la fiscalité. Indicateur de comparaison rapide entre biens.</t>
  </si>
  <si>
    <t xml:space="preserve">Rendement net de charges</t>
  </si>
  <si>
    <t xml:space="preserve">(Loyers annuels nets vacance − Charges annuelles) / Prix total acquisition × 100. Indicateur fiable pour comparer des biens entre eux.</t>
  </si>
  <si>
    <t xml:space="preserve">Cashflow</t>
  </si>
  <si>
    <t xml:space="preserve">Flux net mensuel ou annuel après déduction de toutes les charges et des mensualités de crédit. Positif = bien autofinancé. Négatif = effort d'épargne du propriétaire.</t>
  </si>
  <si>
    <t xml:space="preserve">Effort d'épargne</t>
  </si>
  <si>
    <t xml:space="preserve">Montant mensuel que l'investisseur doit apporter de sa poche pour équilibrer le bien. Cashflow négatif = effort d'épargne. Objectif : le minimiser ou l'annuler.</t>
  </si>
  <si>
    <t xml:space="preserve">Taux de vacance</t>
  </si>
  <si>
    <t xml:space="preserve">% du temps annuel où le bien est inoccupé. Hypothèse prudente : 5 % (Tours centre, meublé), 8 % (périphérie, travaux, saisonnier).</t>
  </si>
  <si>
    <t xml:space="preserve">LMNP — Loueur Meublé Non Pro</t>
  </si>
  <si>
    <t xml:space="preserve">Régime fiscal permettant l'amortissement comptable du bien. Réduit la base imposable, parfois à zéro sur 20–30 ans. Loyer meublé &gt; loyer nu de 10–15 % à surface égale.</t>
  </si>
  <si>
    <t xml:space="preserve">Déficit foncier (location nue)</t>
  </si>
  <si>
    <t xml:space="preserve">Revenus fonciers nets négatifs (charges &gt; loyers) = déficit imputable sur revenu global jusqu'à 10 700 €/an. Puissant en présence de travaux importants.</t>
  </si>
  <si>
    <t xml:space="preserve">SCI à l'IS</t>
  </si>
  <si>
    <t xml:space="preserve">Société Civile Immobilière imposée à l'IS. Amortissements possibles, IS à 15 % (jusqu'à 42 500 €) puis 25 %. Adapté aux patrimoines importants ou TMI élevés.</t>
  </si>
  <si>
    <t xml:space="preserve">TMI — Tranche Marginale d'Imposition</t>
  </si>
  <si>
    <t xml:space="preserve">Taux d'imposition de la dernière tranche de revenu. France 2026 : 0 %, 11 %, 30 %, 41 %, 45 %. Détermine le coût fiscal de la location nue.</t>
  </si>
  <si>
    <t xml:space="preserve">Plus-value latente</t>
  </si>
  <si>
    <t xml:space="preserve">Différence entre valeur actuelle estimée du bien et son prix d'achat. Non réalisée tant que le bien n'est pas vendu. Croît avec l'hypothèse de revalorisation (+2 %/an dans la projection).</t>
  </si>
  <si>
    <t xml:space="preserve">Capital remboursé cumulé</t>
  </si>
  <si>
    <t xml:space="preserve">Cumul des remboursements de capital depuis l'origine du crédit (hors intérêts). Représente de l'épargne forcée — souvent sous-estimé par les investisseurs débutants.</t>
  </si>
  <si>
    <t xml:space="preserve">ROI sur apport</t>
  </si>
  <si>
    <t xml:space="preserve">Retour sur investissement annuel ramené à l'apport injecté. Mesure l'effet de levier du crédit immobilier. Un ROI de 15 % signifie que l'apport est récupéré en ~7 ans.</t>
  </si>
  <si>
    <t xml:space="preserve">Barème honoraires Hunters (chasse)</t>
  </si>
  <si>
    <t xml:space="preserve">&lt; 200 000 € FAI : forfait 7 800 € TTC (6 500 € HT) | 200 001–500 000 € : 4 % TTC | 500 001–1 000 000 € : 3 % TTC | &gt; 1 000 000 € : 2 % TTC. Exigibles à l'acte authentique. Succès uniquement.</t>
  </si>
  <si>
    <t xml:space="preserve">Commission mandataire N1 / N2</t>
  </si>
  <si>
    <t xml:space="preserve">N1 : 55 % des honoraires Hunters — applicable dès le 1er euro. N2 : 60 % — automatique et définitif dès que le mandataire atteint 100 000 € HT de CA cumulé encaissé par Hunters ; non rétroactif sur les dossiers antérieurs au franchissement du seuil.</t>
  </si>
  <si>
    <t xml:space="preserve">TRI — Taux de Rendement Interne</t>
  </si>
  <si>
    <t xml:space="preserve">Taux pour lequel la VAN = 0. Mesure la rentabilité globale sur la durée de détention. TRI &gt; 8 % = excellent en locatif. Calculé sur les cashflows annuels avant IS (onglet Projection 20 ans).</t>
  </si>
  <si>
    <t xml:space="preserve">VAN — Valeur Actuelle Nette</t>
  </si>
  <si>
    <t xml:space="preserve">Somme des cashflows futurs actualisés à 5%. VAN &gt; 0 = l'investissement crée de la valeur. Permet de comparer des investissements de montants et durées différents.</t>
  </si>
  <si>
    <t xml:space="preserve">Ancien : ~7,5% du prix FAI | Neuf/VEFA : ~2,5%. Comprennent droits de mutation, émoluments, débours. Généralement non financés par la banque.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</si>
</sst>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(#,##0&quot; €)&quot;;\-"/>
    <numFmt numFmtId="166" formatCode="0.00%;\-0.00%;\-"/>
    <numFmt numFmtId="167" formatCode="0&quot; ans&quot;"/>
    <numFmt numFmtId="168" formatCode="0.00&quot; %&quot;;\(0.00&quot; %)&quot;;\-"/>
    <numFmt numFmtId="169" formatCode="0"/>
    <numFmt numFmtId="170" formatCode="#,##0;\(#,##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5A8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D2E1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5A8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3"/>
      <color rgb="FFF5A8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D2E1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5A800"/>
      <name val="Arial"/>
      <family val="0"/>
      <charset val="1"/>
    </font>
    <font>
      <sz val="10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4D2E"/>
        <bgColor rgb="FF333333"/>
      </patternFill>
    </fill>
    <fill>
      <patternFill patternType="solid">
        <fgColor rgb="FFFFFDE7"/>
        <bgColor rgb="FFFAFDF8"/>
      </patternFill>
    </fill>
    <fill>
      <patternFill patternType="solid">
        <fgColor rgb="FFFAFDF8"/>
        <bgColor rgb="FFFFFFFF"/>
      </patternFill>
    </fill>
    <fill>
      <patternFill patternType="solid">
        <fgColor rgb="FFE8F0EB"/>
        <bgColor rgb="FFFAFDF8"/>
      </patternFill>
    </fill>
    <fill>
      <patternFill patternType="solid">
        <fgColor rgb="FFFFFFFF"/>
        <bgColor rgb="FFFAFDF8"/>
      </patternFill>
    </fill>
    <fill>
      <patternFill patternType="solid">
        <fgColor rgb="FF0D2E1A"/>
        <bgColor rgb="FF333333"/>
      </patternFill>
    </fill>
    <fill>
      <patternFill patternType="solid">
        <fgColor rgb="FF2E6E44"/>
        <bgColor rgb="FF1A4D2E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5A800"/>
      </bottom>
      <diagonal/>
    </border>
    <border diagonalUp="false" diagonalDown="false">
      <left/>
      <right/>
      <top/>
      <bottom style="medium">
        <color rgb="FF1A4D2E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medium">
        <color rgb="FF1A4D2E"/>
      </top>
      <bottom style="medium">
        <color rgb="FF1A4D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4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44"/>
      <rgbColor rgb="FFCCCCCC"/>
      <rgbColor rgb="FF888888"/>
      <rgbColor rgb="FF9999FF"/>
      <rgbColor rgb="FF993366"/>
      <rgbColor rgb="FFFFFDE7"/>
      <rgbColor rgb="FFE8F0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D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800"/>
      <rgbColor rgb="FFFF6600"/>
      <rgbColor rgb="FF666666"/>
      <rgbColor rgb="FF999999"/>
      <rgbColor rgb="FF003366"/>
      <rgbColor rgb="FF339966"/>
      <rgbColor rgb="FF0D2E1A"/>
      <rgbColor rgb="FF1A4D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42" activePane="bottomRight" state="frozen"/>
      <selection pane="topLeft" activeCell="A1" activeCellId="0" sqref="A1"/>
      <selection pane="topRight" activeCell="B1" activeCellId="0" sqref="B1"/>
      <selection pane="bottomLeft" activeCell="A42" activeCellId="0" sqref="A42"/>
      <selection pane="bottomRight" activeCell="I22" activeCellId="0" sqref="I22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2.45"/>
    <col collapsed="false" customWidth="true" hidden="false" outlineLevel="0" max="5" min="5" style="0" width="30"/>
    <col collapsed="false" customWidth="true" hidden="false" outlineLevel="0" max="6" min="6" style="0" width="17"/>
    <col collapsed="false" customWidth="true" hidden="false" outlineLevel="0" max="7" min="7" style="0" width="2.45"/>
  </cols>
  <sheetData>
    <row r="1" customFormat="false" ht="7.5" hidden="false" customHeight="true" outlineLevel="0" collapsed="false"/>
    <row r="2" customFormat="false" ht="36" hidden="false" customHeight="true" outlineLevel="0" collapsed="false">
      <c r="A2" s="1" t="s">
        <v>0</v>
      </c>
      <c r="B2" s="1"/>
      <c r="C2" s="1"/>
      <c r="D2" s="1"/>
      <c r="E2" s="1"/>
      <c r="F2" s="1"/>
      <c r="G2" s="1"/>
    </row>
    <row r="3" customFormat="false" ht="15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5" customFormat="false" ht="21.75" hidden="false" customHeight="true" outlineLevel="0" collapsed="false">
      <c r="A5" s="3" t="s">
        <v>2</v>
      </c>
      <c r="B5" s="3"/>
      <c r="C5" s="3"/>
      <c r="D5" s="3" t="s">
        <v>3</v>
      </c>
      <c r="E5" s="3"/>
      <c r="F5" s="3"/>
      <c r="G5" s="3"/>
    </row>
    <row r="6" customFormat="false" ht="6.75" hidden="false" customHeight="true" outlineLevel="0" collapsed="false"/>
    <row r="7" customFormat="false" ht="21.75" hidden="false" customHeight="true" outlineLevel="0" collapsed="false">
      <c r="B7" s="4" t="s">
        <v>4</v>
      </c>
      <c r="C7" s="5" t="n">
        <v>124000</v>
      </c>
      <c r="E7" s="6" t="s">
        <v>5</v>
      </c>
      <c r="F7" s="7" t="n">
        <f aca="false">IF(C7=0,0,C31*12/C7)</f>
        <v>0.110322580645161</v>
      </c>
    </row>
    <row r="8" customFormat="false" ht="21.75" hidden="false" customHeight="true" outlineLevel="0" collapsed="false">
      <c r="B8" s="4" t="s">
        <v>6</v>
      </c>
      <c r="C8" s="8" t="n">
        <f aca="false">C7*0.075</f>
        <v>9300</v>
      </c>
      <c r="E8" s="6" t="s">
        <v>7</v>
      </c>
      <c r="F8" s="7" t="n">
        <f aca="false">IF(C15=0,0,(C33-C46)/C15)</f>
        <v>0.0669783752191701</v>
      </c>
    </row>
    <row r="9" customFormat="false" ht="19.5" hidden="false" customHeight="true" outlineLevel="0" collapsed="false">
      <c r="B9" s="4" t="s">
        <v>8</v>
      </c>
      <c r="C9" s="5" t="n">
        <v>20000</v>
      </c>
      <c r="E9" s="4" t="s">
        <v>9</v>
      </c>
      <c r="F9" s="9" t="n">
        <f aca="false">(C33-C46)/12</f>
        <v>955</v>
      </c>
    </row>
    <row r="10" customFormat="false" ht="21.75" hidden="false" customHeight="true" outlineLevel="0" collapsed="false">
      <c r="B10" s="4" t="s">
        <v>10</v>
      </c>
      <c r="C10" s="5" t="n">
        <v>10000</v>
      </c>
      <c r="E10" s="6" t="s">
        <v>11</v>
      </c>
      <c r="F10" s="10" t="n">
        <f aca="false">(C33-C46)/12-C24</f>
        <v>108.220428311957</v>
      </c>
    </row>
    <row r="11" customFormat="false" ht="19.5" hidden="false" customHeight="true" outlineLevel="0" collapsed="false">
      <c r="B11" s="6" t="s">
        <v>12</v>
      </c>
      <c r="C11" s="11" t="n">
        <f aca="false">IF(C7&lt;=200000,7800,IF(C7&lt;=500000,ROUND(C7*0.04,0),IF(C7&lt;=1000000,ROUND(C7*0.03,0),ROUND(C7*0.02,0))))</f>
        <v>7800</v>
      </c>
      <c r="E11" s="4" t="s">
        <v>13</v>
      </c>
      <c r="F11" s="9" t="n">
        <f aca="false">(C33-C46)-C24*12</f>
        <v>1298.64513974348</v>
      </c>
    </row>
    <row r="12" customFormat="false" ht="30" hidden="false" customHeight="true" outlineLevel="0" collapsed="false">
      <c r="B12" s="12" t="s">
        <v>14</v>
      </c>
      <c r="C12" s="12"/>
    </row>
    <row r="13" customFormat="false" ht="12" hidden="false" customHeight="true" outlineLevel="0" collapsed="false">
      <c r="B13" s="4" t="s">
        <v>15</v>
      </c>
      <c r="C13" s="5" t="n">
        <v>0</v>
      </c>
      <c r="E13" s="4" t="s">
        <v>16</v>
      </c>
      <c r="F13" s="13" t="n">
        <f aca="false">IF(C19=0,0,((C33-C46)-C24*12)/C19)</f>
        <v>0.129864513974348</v>
      </c>
    </row>
    <row r="14" customFormat="false" ht="21.75" hidden="false" customHeight="true" outlineLevel="0" collapsed="false">
      <c r="C14" s="14" t="n">
        <f aca="false">C15</f>
        <v>171100</v>
      </c>
      <c r="D14" s="15"/>
      <c r="E14" s="15"/>
      <c r="F14" s="15"/>
      <c r="G14" s="15"/>
    </row>
    <row r="15" customFormat="false" ht="6.75" hidden="false" customHeight="true" outlineLevel="0" collapsed="false">
      <c r="B15" s="6" t="s">
        <v>17</v>
      </c>
      <c r="C15" s="16" t="n">
        <f aca="false">C7+C8+C9+C10+C11+C12</f>
        <v>171100</v>
      </c>
      <c r="D15" s="17" t="s">
        <v>18</v>
      </c>
    </row>
    <row r="16" customFormat="false" ht="19.5" hidden="false" customHeight="true" outlineLevel="0" collapsed="false">
      <c r="A16" s="15"/>
      <c r="B16" s="15"/>
      <c r="C16" s="15"/>
    </row>
    <row r="17" customFormat="false" ht="19.5" hidden="false" customHeight="true" outlineLevel="0" collapsed="false">
      <c r="A17" s="17" t="s">
        <v>19</v>
      </c>
      <c r="E17" s="4" t="s">
        <v>20</v>
      </c>
      <c r="F17" s="18" t="n">
        <f aca="false">C33</f>
        <v>12996</v>
      </c>
    </row>
    <row r="18" customFormat="false" ht="19.5" hidden="false" customHeight="true" outlineLevel="0" collapsed="false">
      <c r="C18" s="14" t="n">
        <f aca="false">C19</f>
        <v>10000</v>
      </c>
      <c r="E18" s="4" t="s">
        <v>21</v>
      </c>
      <c r="F18" s="18" t="n">
        <f aca="false">-C46</f>
        <v>-1536</v>
      </c>
    </row>
    <row r="19" customFormat="false" ht="19.5" hidden="false" customHeight="true" outlineLevel="0" collapsed="false">
      <c r="B19" s="4" t="s">
        <v>22</v>
      </c>
      <c r="C19" s="5" t="n">
        <v>10000</v>
      </c>
      <c r="E19" s="4" t="s">
        <v>23</v>
      </c>
      <c r="F19" s="18" t="n">
        <f aca="false">-C24*12</f>
        <v>-10161.3548602565</v>
      </c>
    </row>
    <row r="20" customFormat="false" ht="19.5" hidden="false" customHeight="true" outlineLevel="0" collapsed="false">
      <c r="B20" s="4" t="s">
        <v>24</v>
      </c>
      <c r="C20" s="8" t="n">
        <f aca="false">MAX(0,C15-C19)</f>
        <v>161100</v>
      </c>
      <c r="E20" s="19" t="s">
        <v>25</v>
      </c>
      <c r="F20" s="18" t="n">
        <f aca="false">0</f>
        <v>0</v>
      </c>
    </row>
    <row r="21" customFormat="false" ht="7.5" hidden="false" customHeight="true" outlineLevel="0" collapsed="false">
      <c r="B21" s="4" t="s">
        <v>26</v>
      </c>
      <c r="C21" s="20" t="n">
        <v>0.035</v>
      </c>
      <c r="E21" s="4" t="s">
        <v>27</v>
      </c>
      <c r="F21" s="18" t="n">
        <f aca="false">IF(C50=1,-MAX(0,C33*0.5*(C51+0.172)),IF(C50=2,-MAX(0,(C33-C46)*(C51+0.172)),-MAX(0,(C33-C46)*IF((C33-C46)&lt;=42500,0.15,0.25))))</f>
        <v>-3067.056</v>
      </c>
    </row>
    <row r="22" customFormat="false" ht="27.75" hidden="false" customHeight="true" outlineLevel="0" collapsed="false">
      <c r="B22" s="4" t="s">
        <v>28</v>
      </c>
      <c r="C22" s="21" t="n">
        <v>25</v>
      </c>
    </row>
    <row r="23" customFormat="false" ht="13.5" hidden="false" customHeight="true" outlineLevel="0" collapsed="false">
      <c r="B23" s="4" t="s">
        <v>29</v>
      </c>
      <c r="C23" s="22" t="n">
        <v>0.003</v>
      </c>
      <c r="E23" s="23" t="s">
        <v>30</v>
      </c>
      <c r="F23" s="24" t="n">
        <f aca="false">C33-C46-C24*12+F21</f>
        <v>-1768.41086025652</v>
      </c>
    </row>
    <row r="24" customFormat="false" ht="21.75" hidden="false" customHeight="true" outlineLevel="0" collapsed="false">
      <c r="B24" s="25" t="s">
        <v>31</v>
      </c>
      <c r="C24" s="26" t="n">
        <f aca="false">C25+C20*C23/12</f>
        <v>846.779571688043</v>
      </c>
      <c r="D24" s="15"/>
      <c r="E24" s="15"/>
      <c r="F24" s="15"/>
      <c r="G24" s="15"/>
    </row>
    <row r="25" customFormat="false" ht="6.75" hidden="false" customHeight="true" outlineLevel="0" collapsed="false">
      <c r="B25" s="6" t="s">
        <v>32</v>
      </c>
      <c r="C25" s="27" t="n">
        <f aca="false">IF(C20&lt;=0,0,-PMT(C21/12,C22*12,C20))</f>
        <v>806.504571688043</v>
      </c>
      <c r="D25" s="17" t="s">
        <v>33</v>
      </c>
    </row>
    <row r="26" customFormat="false" ht="19.5" hidden="false" customHeight="true" outlineLevel="0" collapsed="false">
      <c r="A26" s="15"/>
      <c r="B26" s="15"/>
      <c r="C26" s="15"/>
    </row>
    <row r="27" customFormat="false" ht="19.5" hidden="false" customHeight="true" outlineLevel="0" collapsed="false">
      <c r="A27" s="17" t="s">
        <v>34</v>
      </c>
      <c r="E27" s="4" t="s">
        <v>35</v>
      </c>
      <c r="F27" s="28" t="n">
        <f aca="false">IF(C53=0,0,C24/C53)</f>
        <v>0.211694892922011</v>
      </c>
      <c r="G27" s="29" t="str">
        <f aca="false">IF(C53=0,"Saisir revenus",IF(F27&gt;0.35,"⚠ &gt;35% HCSF","✓ Conforme"))</f>
        <v>✓ Conforme</v>
      </c>
    </row>
    <row r="28" customFormat="false" ht="19.5" hidden="false" customHeight="true" outlineLevel="0" collapsed="false">
      <c r="E28" s="4" t="s">
        <v>36</v>
      </c>
      <c r="F28" s="30" t="n">
        <f aca="false">IF(C33=0,0,C46/C33)</f>
        <v>0.118190212373038</v>
      </c>
    </row>
    <row r="29" customFormat="false" ht="13.5" hidden="false" customHeight="true" outlineLevel="0" collapsed="false">
      <c r="B29" s="4" t="s">
        <v>37</v>
      </c>
      <c r="C29" s="5" t="n">
        <v>1350</v>
      </c>
      <c r="E29" s="4" t="s">
        <v>38</v>
      </c>
      <c r="F29" s="18" t="n">
        <f aca="false">IF(C32&gt;=1,0,(C46+C24*12)/(12*(1-C32)))</f>
        <v>1026.08375967162</v>
      </c>
    </row>
    <row r="30" customFormat="false" ht="21.75" hidden="false" customHeight="true" outlineLevel="0" collapsed="false">
      <c r="B30" s="4" t="s">
        <v>39</v>
      </c>
      <c r="C30" s="5" t="n">
        <v>210</v>
      </c>
      <c r="D30" s="15"/>
      <c r="E30" s="15"/>
      <c r="F30" s="15"/>
      <c r="G30" s="15"/>
    </row>
    <row r="31" customFormat="false" ht="6.75" hidden="false" customHeight="true" outlineLevel="0" collapsed="false">
      <c r="B31" s="4" t="s">
        <v>40</v>
      </c>
      <c r="C31" s="8" t="n">
        <f aca="false">C29-C30</f>
        <v>1140</v>
      </c>
      <c r="D31" s="17" t="s">
        <v>41</v>
      </c>
    </row>
    <row r="32" customFormat="false" ht="19.5" hidden="false" customHeight="true" outlineLevel="0" collapsed="false">
      <c r="B32" s="4" t="s">
        <v>42</v>
      </c>
      <c r="C32" s="20" t="n">
        <v>0.05</v>
      </c>
    </row>
    <row r="33" customFormat="false" ht="19.5" hidden="false" customHeight="true" outlineLevel="0" collapsed="false">
      <c r="C33" s="26" t="n">
        <f aca="false">C34*(1-C32)</f>
        <v>12996</v>
      </c>
      <c r="E33" s="4" t="s">
        <v>43</v>
      </c>
      <c r="F33" s="18" t="n">
        <f aca="false">C11</f>
        <v>7800</v>
      </c>
    </row>
    <row r="34" customFormat="false" ht="19.5" hidden="false" customHeight="true" outlineLevel="0" collapsed="false">
      <c r="B34" s="6" t="s">
        <v>44</v>
      </c>
      <c r="C34" s="16" t="n">
        <f aca="false">C31*12</f>
        <v>13680</v>
      </c>
      <c r="E34" s="4" t="s">
        <v>45</v>
      </c>
      <c r="F34" s="18" t="n">
        <f aca="false">C11*0.55</f>
        <v>4290</v>
      </c>
    </row>
    <row r="35" customFormat="false" ht="13.5" hidden="false" customHeight="true" outlineLevel="0" collapsed="false">
      <c r="A35" s="15"/>
      <c r="B35" s="15"/>
      <c r="C35" s="15"/>
      <c r="E35" s="4" t="s">
        <v>46</v>
      </c>
      <c r="F35" s="18" t="n">
        <f aca="false">C11*0.6</f>
        <v>4680</v>
      </c>
    </row>
    <row r="36" customFormat="false" ht="6.75" hidden="false" customHeight="true" outlineLevel="0" collapsed="false">
      <c r="A36" s="17" t="s">
        <v>47</v>
      </c>
    </row>
    <row r="37" customFormat="false" ht="19.5" hidden="false" customHeight="true" outlineLevel="0" collapsed="false"/>
    <row r="38" customFormat="false" ht="19.5" hidden="false" customHeight="true" outlineLevel="0" collapsed="false">
      <c r="B38" s="4" t="s">
        <v>48</v>
      </c>
      <c r="C38" s="5" t="n">
        <v>900</v>
      </c>
    </row>
    <row r="39" customFormat="false" ht="19.5" hidden="false" customHeight="true" outlineLevel="0" collapsed="false">
      <c r="B39" s="4" t="s">
        <v>49</v>
      </c>
      <c r="C39" s="5" t="n">
        <v>600</v>
      </c>
    </row>
    <row r="40" customFormat="false" ht="19.5" hidden="false" customHeight="true" outlineLevel="0" collapsed="false">
      <c r="B40" s="4" t="s">
        <v>50</v>
      </c>
      <c r="C40" s="5" t="n">
        <v>36</v>
      </c>
    </row>
    <row r="41" customFormat="false" ht="19.5" hidden="false" customHeight="true" outlineLevel="0" collapsed="false">
      <c r="B41" s="4" t="s">
        <v>51</v>
      </c>
      <c r="C41" s="5" t="n">
        <v>0</v>
      </c>
    </row>
    <row r="42" customFormat="false" ht="19.5" hidden="false" customHeight="true" outlineLevel="0" collapsed="false">
      <c r="B42" s="4" t="s">
        <v>52</v>
      </c>
      <c r="C42" s="22" t="n">
        <v>0</v>
      </c>
    </row>
    <row r="43" customFormat="false" ht="19.5" hidden="false" customHeight="true" outlineLevel="0" collapsed="false">
      <c r="B43" s="4" t="s">
        <v>53</v>
      </c>
      <c r="C43" s="8" t="n">
        <f aca="false">C31*12*C42</f>
        <v>0</v>
      </c>
    </row>
    <row r="44" customFormat="false" ht="6.75" hidden="false" customHeight="true" outlineLevel="0" collapsed="false">
      <c r="B44" s="4" t="s">
        <v>54</v>
      </c>
      <c r="C44" s="5" t="n">
        <v>0</v>
      </c>
    </row>
    <row r="45" customFormat="false" ht="21.75" hidden="false" customHeight="true" outlineLevel="0" collapsed="false">
      <c r="C45" s="14" t="n">
        <f aca="false">C46</f>
        <v>1536</v>
      </c>
    </row>
    <row r="46" customFormat="false" ht="13.5" hidden="false" customHeight="true" outlineLevel="0" collapsed="false">
      <c r="B46" s="6" t="s">
        <v>55</v>
      </c>
      <c r="C46" s="31" t="n">
        <f aca="false">C38+C39+C40+C41+C43+C44</f>
        <v>1536</v>
      </c>
    </row>
    <row r="47" customFormat="false" ht="21.75" hidden="false" customHeight="true" outlineLevel="0" collapsed="false">
      <c r="A47" s="15"/>
      <c r="B47" s="15"/>
      <c r="C47" s="15"/>
    </row>
    <row r="48" customFormat="false" ht="6.75" hidden="false" customHeight="true" outlineLevel="0" collapsed="false">
      <c r="A48" s="17" t="s">
        <v>56</v>
      </c>
    </row>
    <row r="49" customFormat="false" ht="19.5" hidden="false" customHeight="true" outlineLevel="0" collapsed="false"/>
    <row r="50" customFormat="false" ht="19.5" hidden="false" customHeight="true" outlineLevel="0" collapsed="false">
      <c r="B50" s="4" t="s">
        <v>57</v>
      </c>
      <c r="C50" s="32" t="n">
        <v>1</v>
      </c>
    </row>
    <row r="51" customFormat="false" ht="19.5" hidden="false" customHeight="true" outlineLevel="0" collapsed="false">
      <c r="B51" s="4" t="s">
        <v>58</v>
      </c>
      <c r="C51" s="22" t="n">
        <v>0.3</v>
      </c>
    </row>
    <row r="52" customFormat="false" ht="13.5" hidden="false" customHeight="true" outlineLevel="0" collapsed="false">
      <c r="B52" s="4" t="s">
        <v>59</v>
      </c>
      <c r="C52" s="22" t="n">
        <v>0.15</v>
      </c>
    </row>
    <row r="53" customFormat="false" ht="15.75" hidden="false" customHeight="true" outlineLevel="0" collapsed="false">
      <c r="B53" s="33" t="s">
        <v>60</v>
      </c>
      <c r="C53" s="34" t="n">
        <v>4000</v>
      </c>
      <c r="D53" s="15"/>
      <c r="E53" s="15"/>
      <c r="F53" s="15"/>
      <c r="G53" s="15"/>
    </row>
    <row r="54" customFormat="false" ht="14.25" hidden="false" customHeight="false" outlineLevel="0" collapsed="false">
      <c r="A54" s="35" t="s">
        <v>61</v>
      </c>
    </row>
  </sheetData>
  <mergeCells count="13">
    <mergeCell ref="A2:G2"/>
    <mergeCell ref="A3:G3"/>
    <mergeCell ref="A5:C5"/>
    <mergeCell ref="D5:G5"/>
    <mergeCell ref="B12:C12"/>
    <mergeCell ref="D14:G14"/>
    <mergeCell ref="A16:C16"/>
    <mergeCell ref="D24:G24"/>
    <mergeCell ref="A26:C26"/>
    <mergeCell ref="D30:G30"/>
    <mergeCell ref="A35:C35"/>
    <mergeCell ref="A47:C47"/>
    <mergeCell ref="D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F7" activeCellId="0" sqref="F7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11" min="3" style="0" width="14"/>
  </cols>
  <sheetData>
    <row r="1" customFormat="false" ht="31.5" hidden="false" customHeight="true" outlineLevel="0" collapsed="false">
      <c r="A1" s="36" t="s">
        <v>62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customFormat="false" ht="18" hidden="false" customHeight="true" outlineLevel="0" collapsed="false">
      <c r="A2" s="37" t="s">
        <v>63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9.5" hidden="false" customHeight="true" outlineLevel="0" collapsed="false">
      <c r="B3" s="4" t="s">
        <v>64</v>
      </c>
      <c r="C3" s="22" t="n">
        <v>0.01</v>
      </c>
    </row>
    <row r="4" customFormat="false" ht="19.5" hidden="false" customHeight="true" outlineLevel="0" collapsed="false">
      <c r="B4" s="4" t="s">
        <v>65</v>
      </c>
      <c r="C4" s="22" t="n">
        <v>0.02</v>
      </c>
    </row>
    <row r="5" customFormat="false" ht="7.5" hidden="false" customHeight="true" outlineLevel="0" collapsed="false"/>
    <row r="6" customFormat="false" ht="33.75" hidden="false" customHeight="true" outlineLevel="0" collapsed="false">
      <c r="B6" s="38" t="s">
        <v>66</v>
      </c>
      <c r="C6" s="39" t="s">
        <v>67</v>
      </c>
      <c r="D6" s="38" t="s">
        <v>68</v>
      </c>
      <c r="E6" s="39" t="s">
        <v>69</v>
      </c>
      <c r="F6" s="38" t="s">
        <v>70</v>
      </c>
      <c r="G6" s="39" t="s">
        <v>71</v>
      </c>
      <c r="H6" s="38" t="s">
        <v>72</v>
      </c>
      <c r="I6" s="39" t="s">
        <v>73</v>
      </c>
      <c r="J6" s="38" t="s">
        <v>74</v>
      </c>
      <c r="K6" s="40" t="s">
        <v>75</v>
      </c>
      <c r="L6" s="40" t="s">
        <v>76</v>
      </c>
      <c r="M6" s="40" t="s">
        <v>77</v>
      </c>
    </row>
    <row r="7" customFormat="false" ht="19.5" hidden="false" customHeight="true" outlineLevel="0" collapsed="false">
      <c r="B7" s="41" t="s">
        <v>78</v>
      </c>
      <c r="C7" s="42" t="n">
        <f aca="false">Calculateur!C33</f>
        <v>12996</v>
      </c>
      <c r="D7" s="42" t="n">
        <f aca="false">Calculateur!C45</f>
        <v>1536</v>
      </c>
      <c r="E7" s="42" t="n">
        <f aca="false">(Calculateur!C24+Calculateur!C19*Calculateur!C22/12)*12</f>
        <v>260161.354860256</v>
      </c>
      <c r="F7" s="42" t="n">
        <f aca="false">C7-D7-E7</f>
        <v>-248701.354860256</v>
      </c>
      <c r="G7" s="42" t="n">
        <f aca="false">Calculateur!C7*(1+C4)</f>
        <v>126480</v>
      </c>
      <c r="H7" s="43" t="n">
        <f aca="false">IF(Calculateur!C20&lt;=0,0,-CUMPRINC(Calculateur!C21/12,Calculateur!C22*12,Calculateur!C20,1,MIN(12,Calculateur!C22*12),0))</f>
        <v>4104.99021821171</v>
      </c>
      <c r="I7" s="42" t="n">
        <f aca="false">G7-Calculateur!C7</f>
        <v>2480</v>
      </c>
      <c r="J7" s="44" t="n">
        <f aca="false">IF(G7=0,0,C7/G7)</f>
        <v>0.102751423149905</v>
      </c>
      <c r="L7" s="45" t="n">
        <f aca="false">MAX(0,Calculateur!C20-H7)</f>
        <v>156995.009781788</v>
      </c>
      <c r="M7" s="45" t="n">
        <f aca="false">G7-L7</f>
        <v>-30515.0097817883</v>
      </c>
    </row>
    <row r="8" customFormat="false" ht="19.5" hidden="false" customHeight="true" outlineLevel="0" collapsed="false">
      <c r="B8" s="46" t="s">
        <v>79</v>
      </c>
      <c r="C8" s="47" t="n">
        <f aca="false">C7*(1+C3)</f>
        <v>13125.96</v>
      </c>
      <c r="D8" s="47" t="n">
        <f aca="false">Calculateur!C45</f>
        <v>1536</v>
      </c>
      <c r="E8" s="47" t="n">
        <f aca="false">(Calculateur!C24+Calculateur!C19*Calculateur!C22/12)*12</f>
        <v>260161.354860256</v>
      </c>
      <c r="F8" s="47" t="n">
        <f aca="false">C8-D8-E8</f>
        <v>-248571.394860257</v>
      </c>
      <c r="G8" s="47" t="n">
        <f aca="false">G7*(1+C4)</f>
        <v>129009.6</v>
      </c>
      <c r="H8" s="43" t="n">
        <f aca="false">IF(Calculateur!C20&lt;=0,0,-CUMPRINC(Calculateur!C21/12,Calculateur!C22*12,Calculateur!C20,1,MIN(24,Calculateur!C22*12),0))</f>
        <v>8355.98243035823</v>
      </c>
      <c r="I8" s="47" t="n">
        <f aca="false">G8-Calculateur!C7</f>
        <v>5009.60000000001</v>
      </c>
      <c r="J8" s="48" t="n">
        <f aca="false">IF(G8=0,0,C8/G8)</f>
        <v>0.101744056256279</v>
      </c>
      <c r="L8" s="45" t="n">
        <f aca="false">MAX(0,Calculateur!C20-H8)</f>
        <v>152744.017569642</v>
      </c>
      <c r="M8" s="45" t="n">
        <f aca="false">G8-L8</f>
        <v>-23734.4175696418</v>
      </c>
    </row>
    <row r="9" customFormat="false" ht="19.5" hidden="false" customHeight="true" outlineLevel="0" collapsed="false">
      <c r="B9" s="41" t="s">
        <v>80</v>
      </c>
      <c r="C9" s="42" t="n">
        <f aca="false">C8*(1+C3)</f>
        <v>13257.2196</v>
      </c>
      <c r="D9" s="42" t="n">
        <f aca="false">Calculateur!C45</f>
        <v>1536</v>
      </c>
      <c r="E9" s="42" t="n">
        <f aca="false">(Calculateur!C24+Calculateur!C19*Calculateur!C22/12)*12</f>
        <v>260161.354860256</v>
      </c>
      <c r="F9" s="42" t="n">
        <f aca="false">C9-D9-E9</f>
        <v>-248440.135260256</v>
      </c>
      <c r="G9" s="42" t="n">
        <f aca="false">G8*(1+C4)</f>
        <v>131589.792</v>
      </c>
      <c r="H9" s="43" t="n">
        <f aca="false">IF(Calculateur!C20&lt;=0,0,-CUMPRINC(Calculateur!C21/12,Calculateur!C22*12,Calculateur!C20,1,MIN(36,Calculateur!C22*12),0))</f>
        <v>12758.1694824878</v>
      </c>
      <c r="I9" s="42" t="n">
        <f aca="false">G9-Calculateur!C7</f>
        <v>7589.79200000002</v>
      </c>
      <c r="J9" s="44" t="n">
        <f aca="false">IF(G9=0,0,C9/G9)</f>
        <v>0.100746565508668</v>
      </c>
      <c r="L9" s="45" t="n">
        <f aca="false">MAX(0,Calculateur!C20-H9)</f>
        <v>148341.830517512</v>
      </c>
      <c r="M9" s="45" t="n">
        <f aca="false">G9-L9</f>
        <v>-16752.0385175122</v>
      </c>
    </row>
    <row r="10" customFormat="false" ht="19.5" hidden="false" customHeight="true" outlineLevel="0" collapsed="false">
      <c r="B10" s="46" t="s">
        <v>81</v>
      </c>
      <c r="C10" s="47" t="n">
        <f aca="false">C9*(1+C3)</f>
        <v>13389.791796</v>
      </c>
      <c r="D10" s="47" t="n">
        <f aca="false">Calculateur!C45</f>
        <v>1536</v>
      </c>
      <c r="E10" s="47" t="n">
        <f aca="false">(Calculateur!C24+Calculateur!C19*Calculateur!C22/12)*12</f>
        <v>260161.354860256</v>
      </c>
      <c r="F10" s="47" t="n">
        <f aca="false">C10-D10-E10</f>
        <v>-248307.563064256</v>
      </c>
      <c r="G10" s="47" t="n">
        <f aca="false">G9*(1+C4)</f>
        <v>134221.58784</v>
      </c>
      <c r="H10" s="43" t="n">
        <f aca="false">IF(Calculateur!C20&lt;=0,0,-CUMPRINC(Calculateur!C21/12,Calculateur!C22*12,Calculateur!C20,1,MIN(48,Calculateur!C22*12),0))</f>
        <v>17316.9289143599</v>
      </c>
      <c r="I10" s="47" t="n">
        <f aca="false">G10-Calculateur!C7</f>
        <v>10221.58784</v>
      </c>
      <c r="J10" s="48" t="n">
        <f aca="false">IF(G10=0,0,C10/G10)</f>
        <v>0.0997588540821125</v>
      </c>
      <c r="L10" s="45" t="n">
        <f aca="false">MAX(0,Calculateur!C20-H10)</f>
        <v>143783.07108564</v>
      </c>
      <c r="M10" s="45" t="n">
        <f aca="false">G10-L10</f>
        <v>-9561.48324564006</v>
      </c>
    </row>
    <row r="11" customFormat="false" ht="19.5" hidden="false" customHeight="true" outlineLevel="0" collapsed="false">
      <c r="B11" s="49" t="s">
        <v>82</v>
      </c>
      <c r="C11" s="50" t="n">
        <f aca="false">C10*(1+C3)</f>
        <v>13523.68971396</v>
      </c>
      <c r="D11" s="42" t="n">
        <f aca="false">Calculateur!C45</f>
        <v>1536</v>
      </c>
      <c r="E11" s="42" t="n">
        <f aca="false">(Calculateur!C24+Calculateur!C19*Calculateur!C22/12)*12</f>
        <v>260161.354860256</v>
      </c>
      <c r="F11" s="50" t="n">
        <f aca="false">C11-D11-E11</f>
        <v>-248173.665146297</v>
      </c>
      <c r="G11" s="50" t="n">
        <f aca="false">G10*(1+C4)</f>
        <v>136906.0195968</v>
      </c>
      <c r="H11" s="43" t="n">
        <f aca="false">IF(Calculateur!C20&lt;=0,0,-CUMPRINC(Calculateur!C21/12,Calculateur!C22*12,Calculateur!C20,1,MIN(60,Calculateur!C22*12),0))</f>
        <v>22037.8295284374</v>
      </c>
      <c r="I11" s="50" t="n">
        <f aca="false">G11-Calculateur!C7</f>
        <v>12906.0195968</v>
      </c>
      <c r="J11" s="44" t="n">
        <f aca="false">IF(G11=0,0,C11/G11)</f>
        <v>0.0987808261009153</v>
      </c>
      <c r="L11" s="45" t="n">
        <f aca="false">MAX(0,Calculateur!C20-H11)</f>
        <v>139062.170471563</v>
      </c>
      <c r="M11" s="45" t="n">
        <f aca="false">G11-L11</f>
        <v>-2156.15087476256</v>
      </c>
    </row>
    <row r="12" customFormat="false" ht="19.5" hidden="false" customHeight="true" outlineLevel="0" collapsed="false">
      <c r="B12" s="46" t="s">
        <v>83</v>
      </c>
      <c r="C12" s="47" t="n">
        <f aca="false">C11*(1+C3)</f>
        <v>13658.9266110996</v>
      </c>
      <c r="D12" s="47" t="n">
        <f aca="false">Calculateur!C45</f>
        <v>1536</v>
      </c>
      <c r="E12" s="47" t="n">
        <f aca="false">(Calculateur!C24+Calculateur!C19*Calculateur!C22/12)*12</f>
        <v>260161.354860256</v>
      </c>
      <c r="F12" s="47" t="n">
        <f aca="false">C12-D12-E12</f>
        <v>-248038.428249157</v>
      </c>
      <c r="G12" s="47" t="n">
        <f aca="false">G11*(1+C4)</f>
        <v>139644.139988736</v>
      </c>
      <c r="H12" s="43" t="n">
        <f aca="false">IF(Calculateur!C20&lt;=0,0,-CUMPRINC(Calculateur!C21/12,Calculateur!C22*12,Calculateur!C20,1,MIN(72,Calculateur!C22*12),0))</f>
        <v>26926.6381925184</v>
      </c>
      <c r="I12" s="47" t="n">
        <f aca="false">G12-Calculateur!C7</f>
        <v>15644.139988736</v>
      </c>
      <c r="J12" s="48" t="n">
        <f aca="false">IF(G12=0,0,C12/G12)</f>
        <v>0.0978123866293377</v>
      </c>
      <c r="L12" s="45" t="n">
        <f aca="false">MAX(0,Calculateur!C20-H12)</f>
        <v>134173.361807482</v>
      </c>
      <c r="M12" s="45" t="n">
        <f aca="false">G12-L12</f>
        <v>5470.7781812544</v>
      </c>
    </row>
    <row r="13" customFormat="false" ht="19.5" hidden="false" customHeight="true" outlineLevel="0" collapsed="false">
      <c r="B13" s="41" t="s">
        <v>84</v>
      </c>
      <c r="C13" s="42" t="n">
        <f aca="false">C12*(1+C3)</f>
        <v>13795.5158772106</v>
      </c>
      <c r="D13" s="42" t="n">
        <f aca="false">Calculateur!C45</f>
        <v>1536</v>
      </c>
      <c r="E13" s="42" t="n">
        <f aca="false">(Calculateur!C24+Calculateur!C19*Calculateur!C22/12)*12</f>
        <v>260161.354860256</v>
      </c>
      <c r="F13" s="42" t="n">
        <f aca="false">C13-D13-E13</f>
        <v>-247901.838983046</v>
      </c>
      <c r="G13" s="42" t="n">
        <f aca="false">G12*(1+C4)</f>
        <v>142437.022788511</v>
      </c>
      <c r="H13" s="43" t="n">
        <f aca="false">IF(Calculateur!C20&lt;=0,0,-CUMPRINC(Calculateur!C21/12,Calculateur!C22*12,Calculateur!C20,1,MIN(84,Calculateur!C22*12),0))</f>
        <v>31989.3268843165</v>
      </c>
      <c r="I13" s="42" t="n">
        <f aca="false">G13-Calculateur!C7</f>
        <v>18437.0227885108</v>
      </c>
      <c r="J13" s="44" t="n">
        <f aca="false">IF(G13=0,0,C13/G13)</f>
        <v>0.0968534416623834</v>
      </c>
      <c r="L13" s="45" t="n">
        <f aca="false">MAX(0,Calculateur!C20-H13)</f>
        <v>129110.673115683</v>
      </c>
      <c r="M13" s="45" t="n">
        <f aca="false">G13-L13</f>
        <v>13326.3496728273</v>
      </c>
    </row>
    <row r="14" customFormat="false" ht="19.5" hidden="false" customHeight="true" outlineLevel="0" collapsed="false">
      <c r="B14" s="46" t="s">
        <v>85</v>
      </c>
      <c r="C14" s="47" t="n">
        <f aca="false">C13*(1+C3)</f>
        <v>13933.4710359827</v>
      </c>
      <c r="D14" s="47" t="n">
        <f aca="false">Calculateur!C45</f>
        <v>1536</v>
      </c>
      <c r="E14" s="47" t="n">
        <f aca="false">(Calculateur!C24+Calculateur!C19*Calculateur!C22/12)*12</f>
        <v>260161.354860256</v>
      </c>
      <c r="F14" s="47" t="n">
        <f aca="false">C14-D14-E14</f>
        <v>-247763.883824274</v>
      </c>
      <c r="G14" s="47" t="n">
        <f aca="false">G13*(1+C4)</f>
        <v>145285.763244281</v>
      </c>
      <c r="H14" s="43" t="n">
        <f aca="false">IF(Calculateur!C20&lt;=0,0,-CUMPRINC(Calculateur!C21/12,Calculateur!C22*12,Calculateur!C20,1,MIN(96,Calculateur!C22*12),0))</f>
        <v>37232.079986596</v>
      </c>
      <c r="I14" s="47" t="n">
        <f aca="false">G14-Calculateur!C7</f>
        <v>21285.763244281</v>
      </c>
      <c r="J14" s="48" t="n">
        <f aca="false">IF(G14=0,0,C14/G14)</f>
        <v>0.0959038981166737</v>
      </c>
      <c r="L14" s="45" t="n">
        <f aca="false">MAX(0,Calculateur!C20-H14)</f>
        <v>123867.920013404</v>
      </c>
      <c r="M14" s="45" t="n">
        <f aca="false">G14-L14</f>
        <v>21417.843230877</v>
      </c>
    </row>
    <row r="15" customFormat="false" ht="19.5" hidden="false" customHeight="true" outlineLevel="0" collapsed="false">
      <c r="B15" s="41" t="s">
        <v>86</v>
      </c>
      <c r="C15" s="42" t="n">
        <f aca="false">C14*(1+C3)</f>
        <v>14072.8057463425</v>
      </c>
      <c r="D15" s="42" t="n">
        <f aca="false">Calculateur!C45</f>
        <v>1536</v>
      </c>
      <c r="E15" s="42" t="n">
        <f aca="false">(Calculateur!C24+Calculateur!C19*Calculateur!C22/12)*12</f>
        <v>260161.354860256</v>
      </c>
      <c r="F15" s="42" t="n">
        <f aca="false">C15-D15-E15</f>
        <v>-247624.549113914</v>
      </c>
      <c r="G15" s="42" t="n">
        <f aca="false">G14*(1+C4)</f>
        <v>148191.478509167</v>
      </c>
      <c r="H15" s="43" t="n">
        <f aca="false">IF(Calculateur!C20&lt;=0,0,-CUMPRINC(Calculateur!C21/12,Calculateur!C22*12,Calculateur!C20,1,MIN(108,Calculateur!C22*12),0))</f>
        <v>42661.3018417716</v>
      </c>
      <c r="I15" s="42" t="n">
        <f aca="false">G15-Calculateur!C7</f>
        <v>24191.4785091666</v>
      </c>
      <c r="J15" s="44" t="n">
        <f aca="false">IF(G15=0,0,C15/G15)</f>
        <v>0.0949636638214122</v>
      </c>
      <c r="L15" s="45" t="n">
        <f aca="false">MAX(0,Calculateur!C20-H15)</f>
        <v>118438.698158228</v>
      </c>
      <c r="M15" s="45" t="n">
        <f aca="false">G15-L15</f>
        <v>29752.7803509382</v>
      </c>
    </row>
    <row r="16" customFormat="false" ht="19.5" hidden="false" customHeight="true" outlineLevel="0" collapsed="false">
      <c r="B16" s="49" t="s">
        <v>87</v>
      </c>
      <c r="C16" s="50" t="n">
        <f aca="false">C15*(1+C3)</f>
        <v>14213.533803806</v>
      </c>
      <c r="D16" s="47" t="n">
        <f aca="false">Calculateur!C45</f>
        <v>1536</v>
      </c>
      <c r="E16" s="47" t="n">
        <f aca="false">(Calculateur!C24+Calculateur!C19*Calculateur!C22/12)*12</f>
        <v>260161.354860256</v>
      </c>
      <c r="F16" s="50" t="n">
        <f aca="false">C16-D16-E16</f>
        <v>-247483.821056451</v>
      </c>
      <c r="G16" s="50" t="n">
        <f aca="false">G15*(1+C4)</f>
        <v>151155.30807935</v>
      </c>
      <c r="H16" s="43" t="n">
        <f aca="false">IF(Calculateur!C20&lt;=0,0,-CUMPRINC(Calculateur!C21/12,Calculateur!C22*12,Calculateur!C20,1,MIN(120,Calculateur!C22*12),0))</f>
        <v>48283.6245752034</v>
      </c>
      <c r="I16" s="50" t="n">
        <f aca="false">G16-Calculateur!C7</f>
        <v>27155.30807935</v>
      </c>
      <c r="J16" s="48" t="n">
        <f aca="false">IF(G16=0,0,C16/G16)</f>
        <v>0.0940326475094376</v>
      </c>
      <c r="L16" s="45" t="n">
        <f aca="false">MAX(0,Calculateur!C20-H16)</f>
        <v>112816.375424797</v>
      </c>
      <c r="M16" s="45" t="n">
        <f aca="false">G16-L16</f>
        <v>38338.9326545534</v>
      </c>
    </row>
    <row r="17" customFormat="false" ht="19.5" hidden="false" customHeight="true" outlineLevel="0" collapsed="false">
      <c r="B17" s="41" t="s">
        <v>88</v>
      </c>
      <c r="C17" s="42" t="n">
        <f aca="false">C16*(1+C3)</f>
        <v>14355.669141844</v>
      </c>
      <c r="D17" s="42" t="n">
        <f aca="false">Calculateur!C45</f>
        <v>1536</v>
      </c>
      <c r="E17" s="42" t="n">
        <f aca="false">(Calculateur!C24+Calculateur!C19*Calculateur!C22/12)*12</f>
        <v>260161.354860256</v>
      </c>
      <c r="F17" s="42" t="n">
        <f aca="false">C17-D17-E17</f>
        <v>-247341.685718412</v>
      </c>
      <c r="G17" s="42" t="n">
        <f aca="false">G16*(1+C4)</f>
        <v>154178.414240937</v>
      </c>
      <c r="H17" s="43" t="n">
        <f aca="false">IF(Calculateur!C20&lt;=0,0,-CUMPRINC(Calculateur!C21/12,Calculateur!C22*12,Calculateur!C20,1,MIN(132,Calculateur!C22*12),0))</f>
        <v>54105.9161967423</v>
      </c>
      <c r="I17" s="42" t="n">
        <f aca="false">G17-Calculateur!C7</f>
        <v>30178.414240937</v>
      </c>
      <c r="J17" s="44" t="n">
        <f aca="false">IF(G17=0,0,C17/G17)</f>
        <v>0.0931107588083647</v>
      </c>
      <c r="L17" s="45" t="n">
        <f aca="false">MAX(0,Calculateur!C20-H17)</f>
        <v>106994.083803258</v>
      </c>
      <c r="M17" s="45" t="n">
        <f aca="false">G17-L17</f>
        <v>47184.3304376793</v>
      </c>
    </row>
    <row r="18" customFormat="false" ht="19.5" hidden="false" customHeight="true" outlineLevel="0" collapsed="false">
      <c r="B18" s="46" t="s">
        <v>89</v>
      </c>
      <c r="C18" s="47" t="n">
        <f aca="false">C17*(1+C3)</f>
        <v>14499.2258332625</v>
      </c>
      <c r="D18" s="47" t="n">
        <f aca="false">Calculateur!C45</f>
        <v>1536</v>
      </c>
      <c r="E18" s="47" t="n">
        <f aca="false">(Calculateur!C24+Calculateur!C19*Calculateur!C22/12)*12</f>
        <v>260161.354860256</v>
      </c>
      <c r="F18" s="47" t="n">
        <f aca="false">C18-D18-E18</f>
        <v>-247198.129026994</v>
      </c>
      <c r="G18" s="47" t="n">
        <f aca="false">G17*(1+C4)</f>
        <v>157261.982525756</v>
      </c>
      <c r="H18" s="43" t="n">
        <f aca="false">IF(Calculateur!C20&lt;=0,0,-CUMPRINC(Calculateur!C21/12,Calculateur!C22*12,Calculateur!C20,1,MIN(144,Calculateur!C22*12),0))</f>
        <v>60135.2889904222</v>
      </c>
      <c r="I18" s="47" t="n">
        <f aca="false">G18-Calculateur!C7</f>
        <v>33261.9825257557</v>
      </c>
      <c r="J18" s="48" t="n">
        <f aca="false">IF(G18=0,0,C18/G18)</f>
        <v>0.0921979082318121</v>
      </c>
      <c r="L18" s="45" t="n">
        <f aca="false">MAX(0,Calculateur!C20-H18)</f>
        <v>100964.711009578</v>
      </c>
      <c r="M18" s="45" t="n">
        <f aca="false">G18-L18</f>
        <v>56297.2715161779</v>
      </c>
    </row>
    <row r="19" customFormat="false" ht="19.5" hidden="false" customHeight="true" outlineLevel="0" collapsed="false">
      <c r="B19" s="41" t="s">
        <v>90</v>
      </c>
      <c r="C19" s="42" t="n">
        <f aca="false">C18*(1+C3)</f>
        <v>14644.2180915951</v>
      </c>
      <c r="D19" s="42" t="n">
        <f aca="false">Calculateur!C45</f>
        <v>1536</v>
      </c>
      <c r="E19" s="42" t="n">
        <f aca="false">(Calculateur!C24+Calculateur!C19*Calculateur!C22/12)*12</f>
        <v>260161.354860256</v>
      </c>
      <c r="F19" s="42" t="n">
        <f aca="false">C19-D19-E19</f>
        <v>-247053.136768661</v>
      </c>
      <c r="G19" s="42" t="n">
        <f aca="false">G18*(1+C4)</f>
        <v>160407.222176271</v>
      </c>
      <c r="H19" s="43" t="n">
        <f aca="false">IF(Calculateur!C20&lt;=0,0,-CUMPRINC(Calculateur!C21/12,Calculateur!C22*12,Calculateur!C20,1,MIN(156,Calculateur!C22*12),0))</f>
        <v>66379.1082025486</v>
      </c>
      <c r="I19" s="42" t="n">
        <f aca="false">G19-Calculateur!C7</f>
        <v>36407.2221762708</v>
      </c>
      <c r="J19" s="44" t="n">
        <f aca="false">IF(G19=0,0,C19/G19)</f>
        <v>0.0912940071707159</v>
      </c>
      <c r="L19" s="45" t="n">
        <f aca="false">MAX(0,Calculateur!C20-H19)</f>
        <v>94720.8917974514</v>
      </c>
      <c r="M19" s="45" t="n">
        <f aca="false">G19-L19</f>
        <v>65686.3303788194</v>
      </c>
    </row>
    <row r="20" customFormat="false" ht="19.5" hidden="false" customHeight="true" outlineLevel="0" collapsed="false">
      <c r="B20" s="46" t="s">
        <v>91</v>
      </c>
      <c r="C20" s="47" t="n">
        <f aca="false">C19*(1+C3)</f>
        <v>14790.660272511</v>
      </c>
      <c r="D20" s="47" t="n">
        <f aca="false">Calculateur!C45</f>
        <v>1536</v>
      </c>
      <c r="E20" s="47" t="n">
        <f aca="false">(Calculateur!C24+Calculateur!C19*Calculateur!C22/12)*12</f>
        <v>260161.354860256</v>
      </c>
      <c r="F20" s="47" t="n">
        <f aca="false">C20-D20-E20</f>
        <v>-246906.694587745</v>
      </c>
      <c r="G20" s="47" t="n">
        <f aca="false">G19*(1+C4)</f>
        <v>163615.366619796</v>
      </c>
      <c r="H20" s="43" t="n">
        <f aca="false">IF(Calculateur!C20&lt;=0,0,-CUMPRINC(Calculateur!C21/12,Calculateur!C22*12,Calculateur!C20,1,MIN(168,Calculateur!C22*12),0))</f>
        <v>72845.0010387959</v>
      </c>
      <c r="I20" s="47" t="n">
        <f aca="false">G20-Calculateur!C7</f>
        <v>39615.3666197962</v>
      </c>
      <c r="J20" s="48" t="n">
        <f aca="false">IF(G20=0,0,C20/G20)</f>
        <v>0.0903989678847285</v>
      </c>
      <c r="L20" s="45" t="n">
        <f aca="false">MAX(0,Calculateur!C20-H20)</f>
        <v>88254.9989612041</v>
      </c>
      <c r="M20" s="45" t="n">
        <f aca="false">G20-L20</f>
        <v>75360.3676585921</v>
      </c>
    </row>
    <row r="21" customFormat="false" ht="19.5" hidden="false" customHeight="true" outlineLevel="0" collapsed="false">
      <c r="B21" s="49" t="s">
        <v>92</v>
      </c>
      <c r="C21" s="50" t="n">
        <f aca="false">C20*(1+C3)</f>
        <v>14938.5668752361</v>
      </c>
      <c r="D21" s="42" t="n">
        <f aca="false">Calculateur!C45</f>
        <v>1536</v>
      </c>
      <c r="E21" s="42" t="n">
        <f aca="false">(Calculateur!C24+Calculateur!C19*Calculateur!C22/12)*12</f>
        <v>260161.354860256</v>
      </c>
      <c r="F21" s="50" t="n">
        <f aca="false">C21-D21-E21</f>
        <v>-246758.78798502</v>
      </c>
      <c r="G21" s="50" t="n">
        <f aca="false">G20*(1+C4)</f>
        <v>166887.673952192</v>
      </c>
      <c r="H21" s="43" t="n">
        <f aca="false">IF(Calculateur!C20&lt;=0,0,-CUMPRINC(Calculateur!C21/12,Calculateur!C22*12,Calculateur!C20,1,MIN(180,Calculateur!C22*12),0))</f>
        <v>79540.8659813036</v>
      </c>
      <c r="I21" s="50" t="n">
        <f aca="false">G21-Calculateur!C7</f>
        <v>42887.6739521921</v>
      </c>
      <c r="J21" s="44" t="n">
        <f aca="false">IF(G21=0,0,C21/G21)</f>
        <v>0.0895127034937017</v>
      </c>
      <c r="L21" s="45" t="n">
        <f aca="false">MAX(0,Calculateur!C20-H21)</f>
        <v>81559.1340186964</v>
      </c>
      <c r="M21" s="45" t="n">
        <f aca="false">G21-L21</f>
        <v>85328.5399334957</v>
      </c>
    </row>
    <row r="22" customFormat="false" ht="19.5" hidden="false" customHeight="true" outlineLevel="0" collapsed="false">
      <c r="B22" s="46" t="s">
        <v>93</v>
      </c>
      <c r="C22" s="47" t="n">
        <f aca="false">C21*(1+C3)</f>
        <v>15087.9525439885</v>
      </c>
      <c r="D22" s="47" t="n">
        <f aca="false">Calculateur!C45</f>
        <v>1536</v>
      </c>
      <c r="E22" s="47" t="n">
        <f aca="false">(Calculateur!C24+Calculateur!C19*Calculateur!C22/12)*12</f>
        <v>260161.354860256</v>
      </c>
      <c r="F22" s="47" t="n">
        <f aca="false">C22-D22-E22</f>
        <v>-246609.402316268</v>
      </c>
      <c r="G22" s="47" t="n">
        <f aca="false">G21*(1+C4)</f>
        <v>170225.427431236</v>
      </c>
      <c r="H22" s="43" t="n">
        <f aca="false">IF(Calculateur!C20&lt;=0,0,-CUMPRINC(Calculateur!C21/12,Calculateur!C22*12,Calculateur!C20,1,MIN(192,Calculateur!C22*12),0))</f>
        <v>86474.8824371541</v>
      </c>
      <c r="I22" s="47" t="n">
        <f aca="false">G22-Calculateur!C7</f>
        <v>46225.427431236</v>
      </c>
      <c r="J22" s="48" t="n">
        <f aca="false">IF(G22=0,0,C22/G22)</f>
        <v>0.0886351279692537</v>
      </c>
      <c r="L22" s="45" t="n">
        <f aca="false">MAX(0,Calculateur!C20-H22)</f>
        <v>74625.1175628459</v>
      </c>
      <c r="M22" s="45" t="n">
        <f aca="false">G22-L22</f>
        <v>95600.3098683901</v>
      </c>
    </row>
    <row r="23" customFormat="false" ht="19.5" hidden="false" customHeight="true" outlineLevel="0" collapsed="false">
      <c r="B23" s="41" t="s">
        <v>94</v>
      </c>
      <c r="C23" s="42" t="n">
        <f aca="false">C22*(1+C3)</f>
        <v>15238.8320694284</v>
      </c>
      <c r="D23" s="42" t="n">
        <f aca="false">Calculateur!C45</f>
        <v>1536</v>
      </c>
      <c r="E23" s="42" t="n">
        <f aca="false">(Calculateur!C24+Calculateur!C19*Calculateur!C22/12)*12</f>
        <v>260161.354860256</v>
      </c>
      <c r="F23" s="42" t="n">
        <f aca="false">C23-D23-E23</f>
        <v>-246458.522790828</v>
      </c>
      <c r="G23" s="42" t="n">
        <f aca="false">G22*(1+C4)</f>
        <v>173629.935979861</v>
      </c>
      <c r="H23" s="43" t="n">
        <f aca="false">IF(Calculateur!C20&lt;=0,0,-CUMPRINC(Calculateur!C21/12,Calculateur!C22*12,Calculateur!C20,1,MIN(204,Calculateur!C22*12),0))</f>
        <v>93655.5207300164</v>
      </c>
      <c r="I23" s="42" t="n">
        <f aca="false">G23-Calculateur!C7</f>
        <v>49629.9359798607</v>
      </c>
      <c r="J23" s="44" t="n">
        <f aca="false">IF(G23=0,0,C23/G23)</f>
        <v>0.0877661561264179</v>
      </c>
      <c r="L23" s="45" t="n">
        <f aca="false">MAX(0,Calculateur!C20-H23)</f>
        <v>67444.4792699836</v>
      </c>
      <c r="M23" s="45" t="n">
        <f aca="false">G23-L23</f>
        <v>106185.456709877</v>
      </c>
    </row>
    <row r="24" customFormat="false" ht="19.5" hidden="false" customHeight="true" outlineLevel="0" collapsed="false">
      <c r="B24" s="46" t="s">
        <v>95</v>
      </c>
      <c r="C24" s="47" t="n">
        <f aca="false">C23*(1+C3)</f>
        <v>15391.2203901227</v>
      </c>
      <c r="D24" s="47" t="n">
        <f aca="false">Calculateur!C45</f>
        <v>1536</v>
      </c>
      <c r="E24" s="47" t="n">
        <f aca="false">(Calculateur!C24+Calculateur!C19*Calculateur!C22/12)*12</f>
        <v>260161.354860256</v>
      </c>
      <c r="F24" s="47" t="n">
        <f aca="false">C24-D24-E24</f>
        <v>-246306.134470134</v>
      </c>
      <c r="G24" s="47" t="n">
        <f aca="false">G23*(1+C4)</f>
        <v>177102.534699458</v>
      </c>
      <c r="H24" s="43" t="n">
        <f aca="false">IF(Calculateur!C20&lt;=0,0,-CUMPRINC(Calculateur!C21/12,Calculateur!C22*12,Calculateur!C20,1,MIN(216,Calculateur!C22*12),0))</f>
        <v>101091.552447163</v>
      </c>
      <c r="I24" s="47" t="n">
        <f aca="false">G24-Calculateur!C7</f>
        <v>53102.5346994579</v>
      </c>
      <c r="J24" s="48" t="n">
        <f aca="false">IF(G24=0,0,C24/G24)</f>
        <v>0.0869057036153745</v>
      </c>
      <c r="L24" s="45" t="n">
        <f aca="false">MAX(0,Calculateur!C20-H24)</f>
        <v>60008.447552837</v>
      </c>
      <c r="M24" s="45" t="n">
        <f aca="false">G24-L24</f>
        <v>117094.087146621</v>
      </c>
    </row>
    <row r="25" customFormat="false" ht="19.5" hidden="false" customHeight="true" outlineLevel="0" collapsed="false">
      <c r="B25" s="41" t="s">
        <v>96</v>
      </c>
      <c r="C25" s="42" t="n">
        <f aca="false">C24*(1+C3)</f>
        <v>15545.1325940239</v>
      </c>
      <c r="D25" s="42" t="n">
        <f aca="false">Calculateur!C45</f>
        <v>1536</v>
      </c>
      <c r="E25" s="42" t="n">
        <f aca="false">(Calculateur!C24+Calculateur!C19*Calculateur!C22/12)*12</f>
        <v>260161.354860256</v>
      </c>
      <c r="F25" s="42" t="n">
        <f aca="false">C25-D25-E25</f>
        <v>-246152.222266233</v>
      </c>
      <c r="G25" s="42" t="n">
        <f aca="false">G24*(1+C4)</f>
        <v>180644.585393447</v>
      </c>
      <c r="H25" s="43" t="n">
        <f aca="false">IF(Calculateur!C20&lt;=0,0,-CUMPRINC(Calculateur!C21/12,Calculateur!C22*12,Calculateur!C20,1,MIN(228,Calculateur!C22*12),0))</f>
        <v>108792.061154498</v>
      </c>
      <c r="I25" s="42" t="n">
        <f aca="false">G25-Calculateur!C7</f>
        <v>56644.5853934471</v>
      </c>
      <c r="J25" s="44" t="n">
        <f aca="false">IF(G25=0,0,C25/G25)</f>
        <v>0.086053686913263</v>
      </c>
      <c r="L25" s="45" t="n">
        <f aca="false">MAX(0,Calculateur!C20-H25)</f>
        <v>52307.9388455019</v>
      </c>
      <c r="M25" s="45" t="n">
        <f aca="false">G25-L25</f>
        <v>128336.646547945</v>
      </c>
    </row>
    <row r="26" customFormat="false" ht="19.5" hidden="false" customHeight="true" outlineLevel="0" collapsed="false">
      <c r="B26" s="49" t="s">
        <v>97</v>
      </c>
      <c r="C26" s="50" t="n">
        <f aca="false">C25*(1+C3)</f>
        <v>15700.5839199641</v>
      </c>
      <c r="D26" s="47" t="n">
        <f aca="false">Calculateur!C45</f>
        <v>1536</v>
      </c>
      <c r="E26" s="47" t="n">
        <f aca="false">(Calculateur!C24+Calculateur!C19*Calculateur!C22/12)*12</f>
        <v>260161.354860256</v>
      </c>
      <c r="F26" s="50" t="n">
        <f aca="false">C26-D26-E26</f>
        <v>-245996.770940292</v>
      </c>
      <c r="G26" s="50" t="n">
        <f aca="false">G25*(1+C4)</f>
        <v>184257.477101316</v>
      </c>
      <c r="H26" s="43" t="n">
        <f aca="false">IF(Calculateur!C20&lt;=0,0,-CUMPRINC(Calculateur!C21/12,Calculateur!C22*12,Calculateur!C20,1,MIN(240,Calculateur!C22*12),0))</f>
        <v>116766.453492687</v>
      </c>
      <c r="I26" s="50" t="n">
        <f aca="false">G26-Calculateur!C7</f>
        <v>60257.477101316</v>
      </c>
      <c r="J26" s="48" t="n">
        <f aca="false">IF(G26=0,0,C26/G26)</f>
        <v>0.0852100233160742</v>
      </c>
      <c r="L26" s="45" t="n">
        <f aca="false">MAX(0,Calculateur!C20-H26)</f>
        <v>44333.5465073131</v>
      </c>
      <c r="M26" s="45" t="n">
        <f aca="false">G26-L26</f>
        <v>139923.930594003</v>
      </c>
    </row>
    <row r="27" customFormat="false" ht="24" hidden="false" customHeight="true" outlineLevel="0" collapsed="false">
      <c r="B27" s="51" t="s">
        <v>98</v>
      </c>
      <c r="C27" s="24" t="n">
        <f aca="false">SUM(C7:C26)</f>
        <v>286158.975916378</v>
      </c>
      <c r="D27" s="24" t="n">
        <f aca="false">SUM(D7:D26)</f>
        <v>30720</v>
      </c>
      <c r="E27" s="24" t="n">
        <f aca="false">SUM(E7:E26)</f>
        <v>5203227.09720513</v>
      </c>
      <c r="F27" s="24" t="n">
        <f aca="false">SUM(F7:F26)</f>
        <v>-4947788.12128875</v>
      </c>
      <c r="G27" s="24" t="n">
        <f aca="false">G26</f>
        <v>184257.477101316</v>
      </c>
      <c r="H27" s="24" t="n">
        <f aca="false">H26</f>
        <v>116766.453492687</v>
      </c>
      <c r="I27" s="24" t="n">
        <f aca="false">I26</f>
        <v>60257.477101316</v>
      </c>
      <c r="J27" s="52" t="n">
        <f aca="false">J26</f>
        <v>0.0852100233160742</v>
      </c>
    </row>
    <row r="28" customFormat="false" ht="78" hidden="false" customHeight="true" outlineLevel="0" collapsed="false">
      <c r="A28" s="53" t="s">
        <v>99</v>
      </c>
      <c r="F28" s="54" t="n">
        <f aca="false">NPV(0.05,F7:F26)</f>
        <v>-3085841.45245343</v>
      </c>
    </row>
    <row r="29" customFormat="false" ht="103.5" hidden="false" customHeight="true" outlineLevel="0" collapsed="false">
      <c r="A29" s="53" t="s">
        <v>100</v>
      </c>
      <c r="F29" s="55" t="n">
        <f aca="false">IFERROR(IRR(F7:F26),0)</f>
        <v>0</v>
      </c>
    </row>
    <row r="31" customFormat="false" ht="14.25" hidden="false" customHeight="false" outlineLevel="0" collapsed="false">
      <c r="A31" s="56" t="s">
        <v>101</v>
      </c>
    </row>
    <row r="32" customFormat="false" ht="49.5" hidden="false" customHeight="true" outlineLevel="0" collapsed="false">
      <c r="B32" s="57" t="s">
        <v>102</v>
      </c>
      <c r="C32" s="58" t="n">
        <v>10</v>
      </c>
    </row>
    <row r="33" customFormat="false" ht="49.5" hidden="false" customHeight="true" outlineLevel="0" collapsed="false">
      <c r="B33" s="57" t="s">
        <v>103</v>
      </c>
      <c r="C33" s="45" t="n">
        <f aca="false">Calculateur!C7*(1+C4)^C32</f>
        <v>151155.30807935</v>
      </c>
    </row>
    <row r="34" customFormat="false" ht="62.25" hidden="false" customHeight="true" outlineLevel="0" collapsed="false">
      <c r="B34" s="57" t="s">
        <v>104</v>
      </c>
      <c r="C34" s="45" t="n">
        <f aca="false">MAX(0,Calculateur!C20-(-CUMPRINC(Calculateur!C21/12,Calculateur!C22*12,Calculateur!C20,1,MIN(C32*12,Calculateur!C22*12),0)))</f>
        <v>112816.375424797</v>
      </c>
    </row>
    <row r="35" customFormat="false" ht="24.75" hidden="false" customHeight="true" outlineLevel="0" collapsed="false">
      <c r="B35" s="57" t="s">
        <v>105</v>
      </c>
      <c r="C35" s="45" t="n">
        <f aca="false">MAX(0,C33-Calculateur!C7)</f>
        <v>27155.3080793499</v>
      </c>
    </row>
    <row r="36" customFormat="false" ht="62.25" hidden="false" customHeight="true" outlineLevel="0" collapsed="false">
      <c r="B36" s="57" t="s">
        <v>106</v>
      </c>
      <c r="C36" s="59" t="n">
        <f aca="false">IF(C32&lt;6,0,IF(C32&gt;=22,1,MIN(1,(C32-5)*0.06)))</f>
        <v>0.3</v>
      </c>
    </row>
    <row r="37" customFormat="false" ht="62.25" hidden="false" customHeight="true" outlineLevel="0" collapsed="false">
      <c r="B37" s="57" t="s">
        <v>107</v>
      </c>
      <c r="C37" s="59" t="n">
        <f aca="false">IF(C32&lt;6,0,IF(C32&gt;=30,1,IF(C32&lt;=21,(C32-5)*0.0165,MIN(1,0.264+(C32-21)*0.09))))</f>
        <v>0.0825</v>
      </c>
    </row>
    <row r="38" customFormat="false" ht="62.25" hidden="false" customHeight="true" outlineLevel="0" collapsed="false">
      <c r="B38" s="57" t="s">
        <v>108</v>
      </c>
      <c r="C38" s="45" t="n">
        <f aca="false">MAX(0,C35*(1-C36)*0.19)</f>
        <v>3611.65597455354</v>
      </c>
    </row>
    <row r="39" customFormat="false" ht="99.75" hidden="false" customHeight="true" outlineLevel="0" collapsed="false">
      <c r="B39" s="57" t="s">
        <v>109</v>
      </c>
      <c r="C39" s="45" t="n">
        <f aca="false">MAX(0,C35*(1-C37)*0.172)</f>
        <v>4285.37916800221</v>
      </c>
    </row>
    <row r="40" customFormat="false" ht="14.25" hidden="false" customHeight="false" outlineLevel="0" collapsed="false">
      <c r="B40" s="60" t="s">
        <v>110</v>
      </c>
      <c r="C40" s="61" t="n">
        <f aca="false">C35-C38-C39</f>
        <v>19258.2729367942</v>
      </c>
    </row>
    <row r="41" customFormat="false" ht="103.5" hidden="false" customHeight="true" outlineLevel="0" collapsed="false">
      <c r="B41" s="53" t="s">
        <v>111</v>
      </c>
      <c r="C41" s="54" t="n">
        <f aca="false">C33-C34-C38-C39</f>
        <v>30441.8975119976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32"/>
    <col collapsed="false" customWidth="true" hidden="false" outlineLevel="0" max="5" min="3" style="0" width="15"/>
    <col collapsed="false" customWidth="true" hidden="false" outlineLevel="0" max="6" min="6" style="0" width="2.45"/>
  </cols>
  <sheetData>
    <row r="1" customFormat="false" ht="31.5" hidden="false" customHeight="true" outlineLevel="0" collapsed="false">
      <c r="A1" s="36" t="s">
        <v>112</v>
      </c>
      <c r="B1" s="36"/>
      <c r="C1" s="36"/>
      <c r="D1" s="36"/>
      <c r="E1" s="36"/>
      <c r="F1" s="36"/>
    </row>
    <row r="2" customFormat="false" ht="18" hidden="false" customHeight="true" outlineLevel="0" collapsed="false">
      <c r="A2" s="37" t="s">
        <v>113</v>
      </c>
      <c r="B2" s="37"/>
      <c r="C2" s="37"/>
      <c r="D2" s="37"/>
      <c r="E2" s="37"/>
      <c r="F2" s="37"/>
    </row>
    <row r="4" customFormat="false" ht="25.5" hidden="false" customHeight="true" outlineLevel="0" collapsed="false">
      <c r="B4" s="62" t="s">
        <v>114</v>
      </c>
      <c r="C4" s="63" t="s">
        <v>115</v>
      </c>
      <c r="D4" s="64" t="s">
        <v>116</v>
      </c>
      <c r="E4" s="65" t="s">
        <v>117</v>
      </c>
    </row>
    <row r="5" customFormat="false" ht="19.5" hidden="false" customHeight="true" outlineLevel="0" collapsed="false">
      <c r="B5" s="4" t="s">
        <v>118</v>
      </c>
      <c r="C5" s="5" t="n">
        <v>150000</v>
      </c>
      <c r="D5" s="5" t="n">
        <v>185000</v>
      </c>
      <c r="E5" s="5" t="n">
        <v>250000</v>
      </c>
    </row>
    <row r="6" customFormat="false" ht="19.5" hidden="false" customHeight="true" outlineLevel="0" collapsed="false">
      <c r="B6" s="4" t="s">
        <v>119</v>
      </c>
      <c r="C6" s="5" t="n">
        <v>650</v>
      </c>
      <c r="D6" s="5" t="n">
        <v>800</v>
      </c>
      <c r="E6" s="5" t="n">
        <v>1100</v>
      </c>
    </row>
    <row r="7" customFormat="false" ht="19.5" hidden="false" customHeight="true" outlineLevel="0" collapsed="false">
      <c r="B7" s="4" t="s">
        <v>120</v>
      </c>
      <c r="C7" s="5" t="n">
        <v>0</v>
      </c>
      <c r="D7" s="5" t="n">
        <v>15000</v>
      </c>
      <c r="E7" s="5" t="n">
        <v>35000</v>
      </c>
    </row>
    <row r="8" customFormat="false" ht="19.5" hidden="false" customHeight="true" outlineLevel="0" collapsed="false">
      <c r="B8" s="4" t="s">
        <v>121</v>
      </c>
      <c r="C8" s="5" t="n">
        <v>7800</v>
      </c>
      <c r="D8" s="5" t="n">
        <v>7800</v>
      </c>
      <c r="E8" s="5" t="n">
        <v>9980</v>
      </c>
    </row>
    <row r="9" customFormat="false" ht="19.5" hidden="false" customHeight="true" outlineLevel="0" collapsed="false">
      <c r="B9" s="4" t="s">
        <v>122</v>
      </c>
      <c r="C9" s="5" t="n">
        <v>11250</v>
      </c>
      <c r="D9" s="5" t="n">
        <v>13875</v>
      </c>
      <c r="E9" s="5" t="n">
        <v>18750</v>
      </c>
    </row>
    <row r="10" customFormat="false" ht="19.5" hidden="false" customHeight="true" outlineLevel="0" collapsed="false">
      <c r="B10" s="4" t="s">
        <v>123</v>
      </c>
      <c r="C10" s="5" t="n">
        <v>20000</v>
      </c>
      <c r="D10" s="5" t="n">
        <v>25000</v>
      </c>
      <c r="E10" s="5" t="n">
        <v>40000</v>
      </c>
    </row>
    <row r="11" customFormat="false" ht="19.5" hidden="false" customHeight="true" outlineLevel="0" collapsed="false">
      <c r="B11" s="4" t="s">
        <v>124</v>
      </c>
      <c r="C11" s="21" t="n">
        <v>20</v>
      </c>
      <c r="D11" s="21" t="n">
        <v>20</v>
      </c>
      <c r="E11" s="21" t="n">
        <v>25</v>
      </c>
    </row>
    <row r="12" customFormat="false" ht="19.5" hidden="false" customHeight="true" outlineLevel="0" collapsed="false">
      <c r="B12" s="4" t="s">
        <v>125</v>
      </c>
      <c r="C12" s="22" t="n">
        <v>0.034</v>
      </c>
      <c r="D12" s="22" t="n">
        <v>0.035</v>
      </c>
      <c r="E12" s="22" t="n">
        <v>0.036</v>
      </c>
    </row>
    <row r="13" customFormat="false" ht="19.5" hidden="false" customHeight="true" outlineLevel="0" collapsed="false">
      <c r="B13" s="4" t="s">
        <v>126</v>
      </c>
      <c r="C13" s="22" t="n">
        <v>0.05</v>
      </c>
      <c r="D13" s="22" t="n">
        <v>0.05</v>
      </c>
      <c r="E13" s="22" t="n">
        <v>0.08</v>
      </c>
    </row>
    <row r="14" customFormat="false" ht="19.5" hidden="false" customHeight="true" outlineLevel="0" collapsed="false">
      <c r="B14" s="4" t="s">
        <v>127</v>
      </c>
      <c r="C14" s="5" t="n">
        <v>1500</v>
      </c>
      <c r="D14" s="5" t="n">
        <v>1980</v>
      </c>
      <c r="E14" s="5" t="n">
        <v>2800</v>
      </c>
    </row>
    <row r="15" customFormat="false" ht="12" hidden="false" customHeight="true" outlineLevel="0" collapsed="false"/>
    <row r="16" customFormat="false" ht="21.75" hidden="false" customHeight="true" outlineLevel="0" collapsed="false">
      <c r="A16" s="3" t="s">
        <v>128</v>
      </c>
      <c r="B16" s="3"/>
      <c r="C16" s="3"/>
      <c r="D16" s="3"/>
      <c r="E16" s="3"/>
      <c r="F16" s="3"/>
    </row>
    <row r="17" customFormat="false" ht="6.75" hidden="false" customHeight="true" outlineLevel="0" collapsed="false"/>
    <row r="18" customFormat="false" ht="21.75" hidden="false" customHeight="true" outlineLevel="0" collapsed="false">
      <c r="B18" s="6" t="s">
        <v>129</v>
      </c>
      <c r="C18" s="11" t="n">
        <f aca="false">C5+C7+C8+C9</f>
        <v>169050</v>
      </c>
      <c r="D18" s="11" t="n">
        <f aca="false">D5+D7+D8+D9</f>
        <v>221675</v>
      </c>
      <c r="E18" s="11" t="n">
        <f aca="false">E5+E7+E8+E9</f>
        <v>313730</v>
      </c>
    </row>
    <row r="19" customFormat="false" ht="19.5" hidden="false" customHeight="true" outlineLevel="0" collapsed="false">
      <c r="B19" s="4" t="s">
        <v>130</v>
      </c>
      <c r="C19" s="18" t="n">
        <f aca="false">C6*12*(1-C13)</f>
        <v>7410</v>
      </c>
      <c r="D19" s="18" t="n">
        <f aca="false">D6*12*(1-D13)</f>
        <v>9120</v>
      </c>
      <c r="E19" s="18" t="n">
        <f aca="false">E6*12*(1-E13)</f>
        <v>12144</v>
      </c>
    </row>
    <row r="20" customFormat="false" ht="21.75" hidden="false" customHeight="true" outlineLevel="0" collapsed="false">
      <c r="B20" s="6" t="s">
        <v>131</v>
      </c>
      <c r="C20" s="66" t="n">
        <f aca="false">IF(C5=0,0,C6*12/C5)</f>
        <v>0.052</v>
      </c>
      <c r="D20" s="66" t="n">
        <f aca="false">IF(D5=0,0,D6*12/D5)</f>
        <v>0.0518918918918919</v>
      </c>
      <c r="E20" s="66" t="n">
        <f aca="false">IF(E5=0,0,E6*12/E5)</f>
        <v>0.0528</v>
      </c>
    </row>
    <row r="21" customFormat="false" ht="21.75" hidden="false" customHeight="true" outlineLevel="0" collapsed="false">
      <c r="B21" s="6" t="s">
        <v>132</v>
      </c>
      <c r="C21" s="66" t="n">
        <f aca="false">IF(C5=0,0,(C6*12*(1-C13)-C14)/C5)</f>
        <v>0.0394</v>
      </c>
      <c r="D21" s="66" t="n">
        <f aca="false">IF(D5=0,0,(D6*12*(1-D13)-D14)/D5)</f>
        <v>0.0385945945945946</v>
      </c>
      <c r="E21" s="66" t="n">
        <f aca="false">IF(E5=0,0,(E6*12*(1-E13)-E14)/E5)</f>
        <v>0.037376</v>
      </c>
    </row>
    <row r="22" customFormat="false" ht="19.5" hidden="false" customHeight="true" outlineLevel="0" collapsed="false">
      <c r="B22" s="4" t="s">
        <v>133</v>
      </c>
      <c r="C22" s="67" t="n">
        <f aca="false">IF(C18-C10&lt;=0,0,-PMT(C12/12,C11*12,C18-C10))</f>
        <v>856.790542617354</v>
      </c>
      <c r="D22" s="67" t="n">
        <f aca="false">IF(D18-D10&lt;=0,0,-PMT(D12/12,D11*12,D18-D10))</f>
        <v>1140.63577534325</v>
      </c>
      <c r="E22" s="67" t="n">
        <f aca="false">IF(E18-E10&lt;=0,0,-PMT(E12/12,E11*12,E18-E10))</f>
        <v>1385.08122476159</v>
      </c>
    </row>
    <row r="23" customFormat="false" ht="21.75" hidden="false" customHeight="true" outlineLevel="0" collapsed="false">
      <c r="B23" s="6" t="s">
        <v>134</v>
      </c>
      <c r="C23" s="10" t="n">
        <f aca="false">(C6*12*(1-C13)-C14)/12-C22</f>
        <v>-364.290542617354</v>
      </c>
      <c r="D23" s="10" t="n">
        <f aca="false">(D6*12*(1-D13)-D14)/12-D22</f>
        <v>-545.635775343249</v>
      </c>
      <c r="E23" s="10" t="n">
        <f aca="false">(E6*12*(1-E13)-E14)/12-E22</f>
        <v>-606.414558094921</v>
      </c>
    </row>
    <row r="24" customFormat="false" ht="13.5" hidden="false" customHeight="true" outlineLevel="0" collapsed="false">
      <c r="B24" s="25" t="s">
        <v>135</v>
      </c>
      <c r="C24" s="54" t="n">
        <f aca="false">C23*12</f>
        <v>-4371.48651140824</v>
      </c>
      <c r="D24" s="54" t="n">
        <f aca="false">D23*12</f>
        <v>-6547.62930411899</v>
      </c>
      <c r="E24" s="54" t="n">
        <f aca="false">E23*12</f>
        <v>-7276.97469713905</v>
      </c>
    </row>
    <row r="25" customFormat="false" ht="27.75" hidden="false" customHeight="true" outlineLevel="0" collapsed="false">
      <c r="A25" s="68" t="s">
        <v>136</v>
      </c>
      <c r="B25" s="25" t="s">
        <v>137</v>
      </c>
      <c r="C25" s="69" t="n">
        <f aca="false">IF(C10=0,0,C24/C10)</f>
        <v>-0.218574325570412</v>
      </c>
      <c r="D25" s="69" t="n">
        <f aca="false">IF(D10=0,0,D24/D10)</f>
        <v>-0.26190517216476</v>
      </c>
      <c r="E25" s="69" t="n">
        <f aca="false">IF(E10=0,0,E24/E10)</f>
        <v>-0.181924367428476</v>
      </c>
    </row>
    <row r="26" customFormat="false" ht="14.25" hidden="false" customHeight="false" outlineLevel="0" collapsed="false">
      <c r="B26" s="33" t="s">
        <v>138</v>
      </c>
      <c r="C26" s="70" t="n">
        <f aca="false">IF(C22=0,0,C22/4000)</f>
        <v>0.214197635654338</v>
      </c>
      <c r="D26" s="70" t="n">
        <f aca="false">IF(D22=0,0,D22/4000)</f>
        <v>0.285158943835812</v>
      </c>
      <c r="E26" s="70" t="n">
        <f aca="false">IF(E22=0,0,E22/4000)</f>
        <v>0.346270306190397</v>
      </c>
    </row>
    <row r="27" customFormat="false" ht="14.25" hidden="false" customHeight="false" outlineLevel="0" collapsed="false">
      <c r="B27" s="33" t="s">
        <v>139</v>
      </c>
      <c r="C27" s="29" t="str">
        <f aca="false">IF(C26&gt;0.35,"⚠ &gt;35% HCSF","✓ Conforme")</f>
        <v>✓ Conforme</v>
      </c>
      <c r="D27" s="29" t="str">
        <f aca="false">IF(D26&gt;0.35,"⚠ &gt;35% HCSF","✓ Conforme")</f>
        <v>✓ Conforme</v>
      </c>
      <c r="E27" s="29" t="str">
        <f aca="false">IF(E26&gt;0.35,"⚠ &gt;35% HCSF","✓ Conforme")</f>
        <v>✓ Conforme</v>
      </c>
    </row>
    <row r="28" customFormat="false" ht="14.25" hidden="false" customHeight="false" outlineLevel="0" collapsed="false">
      <c r="B28" s="25" t="s">
        <v>140</v>
      </c>
      <c r="C28" s="71" t="str">
        <f aca="false">IF(AND(C24&gt;=D24,C24&gt;=E24),"★ MEILLEUR","—")</f>
        <v>★ MEILLEUR</v>
      </c>
      <c r="D28" s="71" t="str">
        <f aca="false">IF(AND(D24&gt;=C24,D24&gt;=E24),"★ MEILLEUR","—")</f>
        <v>—</v>
      </c>
      <c r="E28" s="71" t="str">
        <f aca="false">IF(AND(E24&gt;=C24,E24&gt;=D24),"★ MEILLEUR","—")</f>
        <v>—</v>
      </c>
    </row>
  </sheetData>
  <mergeCells count="3">
    <mergeCell ref="A1:F1"/>
    <mergeCell ref="A2:F2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.45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4" min="4" style="0" width="2.45"/>
  </cols>
  <sheetData>
    <row r="1" customFormat="false" ht="31.5" hidden="false" customHeight="true" outlineLevel="0" collapsed="false">
      <c r="A1" s="36" t="s">
        <v>141</v>
      </c>
      <c r="B1" s="36"/>
      <c r="C1" s="36"/>
      <c r="D1" s="36"/>
    </row>
    <row r="2" customFormat="false" ht="18" hidden="false" customHeight="true" outlineLevel="0" collapsed="false">
      <c r="A2" s="37" t="s">
        <v>142</v>
      </c>
      <c r="B2" s="37"/>
      <c r="C2" s="37"/>
      <c r="D2" s="37"/>
    </row>
    <row r="3" customFormat="false" ht="9.75" hidden="false" customHeight="true" outlineLevel="0" collapsed="false"/>
    <row r="4" customFormat="false" ht="37.5" hidden="false" customHeight="true" outlineLevel="0" collapsed="false">
      <c r="B4" s="72" t="s">
        <v>143</v>
      </c>
      <c r="C4" s="73" t="s">
        <v>144</v>
      </c>
    </row>
    <row r="5" customFormat="false" ht="37.5" hidden="false" customHeight="true" outlineLevel="0" collapsed="false">
      <c r="B5" s="74" t="s">
        <v>145</v>
      </c>
      <c r="C5" s="75" t="s">
        <v>146</v>
      </c>
    </row>
    <row r="6" customFormat="false" ht="37.5" hidden="false" customHeight="true" outlineLevel="0" collapsed="false">
      <c r="B6" s="72" t="s">
        <v>147</v>
      </c>
      <c r="C6" s="76" t="s">
        <v>148</v>
      </c>
    </row>
    <row r="7" customFormat="false" ht="37.5" hidden="false" customHeight="true" outlineLevel="0" collapsed="false">
      <c r="B7" s="74" t="s">
        <v>149</v>
      </c>
      <c r="C7" s="75" t="s">
        <v>150</v>
      </c>
    </row>
    <row r="8" customFormat="false" ht="37.5" hidden="false" customHeight="true" outlineLevel="0" collapsed="false">
      <c r="B8" s="72" t="s">
        <v>151</v>
      </c>
      <c r="C8" s="76" t="s">
        <v>152</v>
      </c>
    </row>
    <row r="9" customFormat="false" ht="37.5" hidden="false" customHeight="true" outlineLevel="0" collapsed="false">
      <c r="B9" s="74" t="s">
        <v>153</v>
      </c>
      <c r="C9" s="75" t="s">
        <v>154</v>
      </c>
    </row>
    <row r="10" customFormat="false" ht="37.5" hidden="false" customHeight="true" outlineLevel="0" collapsed="false">
      <c r="B10" s="72" t="s">
        <v>155</v>
      </c>
      <c r="C10" s="76" t="s">
        <v>156</v>
      </c>
    </row>
    <row r="11" customFormat="false" ht="37.5" hidden="false" customHeight="true" outlineLevel="0" collapsed="false">
      <c r="B11" s="74" t="s">
        <v>157</v>
      </c>
      <c r="C11" s="75" t="s">
        <v>158</v>
      </c>
    </row>
    <row r="12" customFormat="false" ht="37.5" hidden="false" customHeight="true" outlineLevel="0" collapsed="false">
      <c r="B12" s="72" t="s">
        <v>159</v>
      </c>
      <c r="C12" s="76" t="s">
        <v>160</v>
      </c>
    </row>
    <row r="13" customFormat="false" ht="37.5" hidden="false" customHeight="true" outlineLevel="0" collapsed="false">
      <c r="B13" s="74" t="s">
        <v>161</v>
      </c>
      <c r="C13" s="75" t="s">
        <v>162</v>
      </c>
    </row>
    <row r="14" customFormat="false" ht="37.5" hidden="false" customHeight="true" outlineLevel="0" collapsed="false">
      <c r="B14" s="72" t="s">
        <v>163</v>
      </c>
      <c r="C14" s="76" t="s">
        <v>164</v>
      </c>
    </row>
    <row r="15" customFormat="false" ht="37.5" hidden="false" customHeight="true" outlineLevel="0" collapsed="false">
      <c r="B15" s="74" t="s">
        <v>165</v>
      </c>
      <c r="C15" s="75" t="s">
        <v>166</v>
      </c>
    </row>
    <row r="16" customFormat="false" ht="37.5" hidden="false" customHeight="true" outlineLevel="0" collapsed="false">
      <c r="B16" s="72" t="s">
        <v>167</v>
      </c>
      <c r="C16" s="76" t="s">
        <v>168</v>
      </c>
    </row>
    <row r="17" customFormat="false" ht="37.5" hidden="false" customHeight="true" outlineLevel="0" collapsed="false">
      <c r="B17" s="74" t="s">
        <v>169</v>
      </c>
      <c r="C17" s="75" t="s">
        <v>170</v>
      </c>
    </row>
    <row r="18" customFormat="false" ht="38.25" hidden="false" customHeight="true" outlineLevel="0" collapsed="false">
      <c r="B18" s="25" t="s">
        <v>171</v>
      </c>
      <c r="C18" s="77" t="s">
        <v>172</v>
      </c>
    </row>
    <row r="19" customFormat="false" ht="13.5" hidden="false" customHeight="true" outlineLevel="0" collapsed="false">
      <c r="B19" s="25" t="s">
        <v>173</v>
      </c>
      <c r="C19" s="77" t="s">
        <v>174</v>
      </c>
    </row>
    <row r="20" customFormat="false" ht="15.75" hidden="false" customHeight="true" outlineLevel="0" collapsed="false">
      <c r="A20" s="78" t="s">
        <v>122</v>
      </c>
      <c r="B20" s="77" t="s">
        <v>175</v>
      </c>
    </row>
    <row r="21" customFormat="false" ht="14.25" hidden="false" customHeight="false" outlineLevel="0" collapsed="false">
      <c r="A21" s="79" t="s">
        <v>61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2026-03-12T22:39:26Z</dcterms:created>
  <dc:creator>openpyxl</dc:creator>
  <dc:description/>
  <dc:language>en-US</dc:language>
  <cp:lastModifiedBy>Anaïs SAIZONOU</cp:lastModifiedBy>
  <dcterms:modified xsi:type="dcterms:W3CDTF">2026-08-05T20:59:21Z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